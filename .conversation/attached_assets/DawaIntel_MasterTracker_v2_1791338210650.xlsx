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ry Wanjiku Pharmacy" sheetId="2" state="visible" r:id="rId2"/>
    <sheet xmlns:r="http://schemas.openxmlformats.org/officeDocument/2006/relationships" name="Batch Register" sheetId="3" state="visible" r:id="rId3"/>
    <sheet xmlns:r="http://schemas.openxmlformats.org/officeDocument/2006/relationships" name="Overview Dashboard" sheetId="4" state="visible" r:id="rId4"/>
    <sheet xmlns:r="http://schemas.openxmlformats.org/officeDocument/2006/relationships" name="Form Responses 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C07C2A"/>
      <sz val="10"/>
    </font>
    <font>
      <name val="Arial"/>
      <b val="1"/>
      <color rgb="00FFFFFF"/>
      <sz val="10"/>
    </font>
    <font>
      <name val="Arial"/>
      <b val="1"/>
      <color rgb="000F4040"/>
      <sz val="10"/>
    </font>
    <font>
      <name val="Arial"/>
      <color rgb="004A4A4A"/>
      <sz val="10"/>
    </font>
    <font>
      <name val="Arial"/>
      <b val="1"/>
      <color rgb="00C07C2A"/>
      <sz val="10"/>
    </font>
    <font>
      <name val="Arial"/>
      <b val="1"/>
      <color rgb="001A7A4A"/>
      <sz val="10"/>
    </font>
    <font>
      <name val="Arial"/>
      <color rgb="001C1C1C"/>
      <sz val="10"/>
    </font>
    <font>
      <name val="Arial"/>
      <color rgb="001C1C1C"/>
      <sz val="9"/>
    </font>
    <font>
      <name val="Arial"/>
      <b val="1"/>
      <color rgb="00FFFFFF"/>
      <sz val="12"/>
    </font>
    <font>
      <name val="Arial"/>
      <b val="1"/>
      <color rgb="001C1C1C"/>
      <sz val="10"/>
    </font>
    <font>
      <name val="Arial"/>
      <b val="1"/>
      <color rgb="004A4A4A"/>
      <sz val="10"/>
    </font>
    <font>
      <name val="Arial"/>
      <b val="1"/>
      <color rgb="00FFFFFF"/>
      <sz val="9"/>
    </font>
    <font>
      <name val="Arial"/>
      <b val="1"/>
      <color rgb="001C1C1C"/>
      <sz val="11"/>
    </font>
    <font>
      <name val="Arial"/>
      <b val="1"/>
      <color rgb="000F4040"/>
      <sz val="24"/>
    </font>
    <font>
      <name val="Arial"/>
      <i val="1"/>
      <color rgb="00BBBBBB"/>
      <sz val="10"/>
    </font>
    <font>
      <name val="Arial"/>
      <i val="1"/>
      <color rgb="004A4A4A"/>
      <sz val="10"/>
    </font>
  </fonts>
  <fills count="11">
    <fill>
      <patternFill/>
    </fill>
    <fill>
      <patternFill patternType="gray125"/>
    </fill>
    <fill>
      <patternFill patternType="solid">
        <fgColor rgb="000F4040"/>
      </patternFill>
    </fill>
    <fill>
      <patternFill patternType="solid">
        <fgColor rgb="00E8F4F4"/>
      </patternFill>
    </fill>
    <fill>
      <patternFill patternType="solid">
        <fgColor rgb="00FFFFFF"/>
      </patternFill>
    </fill>
    <fill>
      <patternFill patternType="solid">
        <fgColor rgb="001A6B6B"/>
      </patternFill>
    </fill>
    <fill>
      <patternFill patternType="solid">
        <fgColor rgb="00FDF3E3"/>
      </patternFill>
    </fill>
    <fill>
      <patternFill patternType="solid">
        <fgColor rgb="00E8F5EE"/>
      </patternFill>
    </fill>
    <fill>
      <patternFill patternType="solid">
        <fgColor rgb="00F5F5F5"/>
      </patternFill>
    </fill>
    <fill>
      <patternFill patternType="solid">
        <fgColor rgb="00C07C2A"/>
      </patternFill>
    </fill>
    <fill>
      <patternFill patternType="solid">
        <fgColor rgb="001A7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3" fontId="14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14">
    <dxf>
      <font>
        <name val="Arial"/>
        <b val="1"/>
        <color rgb="00FFFFFF"/>
      </font>
      <fill>
        <patternFill patternType="solid">
          <bgColor rgb="00C0392B"/>
        </patternFill>
      </fill>
    </dxf>
    <dxf>
      <font>
        <name val="Arial"/>
        <b val="1"/>
        <color rgb="00FFFFFF"/>
      </font>
      <fill>
        <patternFill patternType="solid">
          <bgColor rgb="00E67E22"/>
        </patternFill>
      </fill>
    </dxf>
    <dxf>
      <font>
        <name val="Arial"/>
        <b val="1"/>
        <color rgb="001C1C1C"/>
      </font>
      <fill>
        <patternFill patternType="solid">
          <bgColor rgb="00F1C40F"/>
        </patternFill>
      </fill>
    </dxf>
    <dxf>
      <font>
        <name val="Arial"/>
        <b val="1"/>
        <color rgb="00FFFFFF"/>
      </font>
      <fill>
        <patternFill patternType="solid">
          <bgColor rgb="001A7A4A"/>
        </patternFill>
      </fill>
    </dxf>
    <dxf>
      <font>
        <name val="Arial"/>
        <b val="1"/>
        <color rgb="00FFFFFF"/>
      </font>
      <fill>
        <patternFill patternType="solid">
          <fgColor rgb="00C0392B"/>
        </patternFill>
      </fill>
    </dxf>
    <dxf>
      <font>
        <name val="Arial"/>
        <b val="1"/>
        <color rgb="00FFFFFF"/>
      </font>
      <fill>
        <patternFill patternType="solid">
          <fgColor rgb="00E67E22"/>
        </patternFill>
      </fill>
    </dxf>
    <dxf>
      <font>
        <name val="Arial"/>
        <b val="1"/>
        <color rgb="001C1C1C"/>
      </font>
      <fill>
        <patternFill patternType="solid">
          <fgColor rgb="00F1C40F"/>
        </patternFill>
      </fill>
    </dxf>
    <dxf>
      <font>
        <name val="Arial"/>
        <b val="1"/>
        <color rgb="00FFFFFF"/>
      </font>
      <fill>
        <patternFill patternType="solid">
          <fgColor rgb="001A7A4A"/>
        </patternFill>
      </fill>
    </dxf>
    <dxf>
      <font>
        <name val="Arial"/>
        <b val="1"/>
        <color rgb="001A7A4A"/>
      </font>
      <fill>
        <patternFill patternType="solid">
          <bgColor rgb="00E8F5EE"/>
        </patternFill>
      </fill>
    </dxf>
    <dxf>
      <font>
        <name val="Arial"/>
        <b val="1"/>
        <color rgb="004A4A4A"/>
      </font>
      <fill>
        <patternFill patternType="solid">
          <bgColor rgb="00F5F5F5"/>
        </patternFill>
      </fill>
    </dxf>
    <dxf>
      <font>
        <name val="Arial"/>
        <b val="1"/>
        <color rgb="00C0392B"/>
      </font>
      <fill>
        <patternFill patternType="solid">
          <bgColor rgb="00FDECEA"/>
        </patternFill>
      </fill>
    </dxf>
    <dxf>
      <font>
        <name val="Arial"/>
        <b val="1"/>
        <color rgb="00C0392B"/>
      </font>
      <fill>
        <patternFill patternType="solid">
          <fgColor rgb="00FDECEA"/>
        </patternFill>
      </fill>
    </dxf>
    <dxf>
      <font>
        <name val="Arial"/>
        <b val="1"/>
        <color rgb="00E67E22"/>
      </font>
      <fill>
        <patternFill patternType="solid">
          <fgColor rgb="00FFFBEB"/>
        </patternFill>
      </fill>
    </dxf>
    <dxf>
      <font>
        <name val="Arial"/>
        <b val="1"/>
        <color rgb="001A7A4A"/>
      </font>
      <fill>
        <patternFill patternType="solid">
          <fgColor rgb="00E8F5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040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⬡  DAWA INTEL — MASTER PHARMACY TRACKER  |  v2  |  Smart Pharmacy. Smarter Decisions.</t>
        </is>
      </c>
    </row>
    <row r="2" ht="20" customHeight="1">
      <c r="A2" s="2" t="inlineStr">
        <is>
          <t>Nakuru County, Kenya  |  One Google Form · One Spreadsheet · Multiple Pharmacies</t>
        </is>
      </c>
    </row>
    <row r="4" ht="18" customHeight="1">
      <c r="A4" s="3" t="inlineStr">
        <is>
          <t>TABS IN THIS WORKBOOK</t>
        </is>
      </c>
    </row>
    <row r="5" ht="18" customHeight="1">
      <c r="A5" s="4" t="inlineStr">
        <is>
          <t xml:space="preserve">  📄 Instructions</t>
        </is>
      </c>
      <c r="D5" s="5" t="inlineStr">
        <is>
          <t xml:space="preserve">  This tab — column guide, formula legend, key rules. Read first.</t>
        </is>
      </c>
    </row>
    <row r="6" ht="18" customHeight="1">
      <c r="A6" s="6" t="inlineStr">
        <is>
          <t xml:space="preserve">  📄 Mary Wanjiku Pharmacy</t>
        </is>
      </c>
      <c r="D6" s="7" t="inlineStr">
        <is>
          <t xml:space="preserve">  Sample pharmacy tab. Duplicate this tab for every new pharmacy you onboard.</t>
        </is>
      </c>
    </row>
    <row r="7" ht="18" customHeight="1">
      <c r="A7" s="4" t="inlineStr">
        <is>
          <t xml:space="preserve">  📄 Batch Register</t>
        </is>
      </c>
      <c r="D7" s="5" t="inlineStr">
        <is>
          <t xml:space="preserve">  All batches with expiry dates. One row per received batch, any pharmacy.</t>
        </is>
      </c>
    </row>
    <row r="8" ht="18" customHeight="1">
      <c r="A8" s="6" t="inlineStr">
        <is>
          <t xml:space="preserve">  📄 Overview Dashboard</t>
        </is>
      </c>
      <c r="D8" s="7" t="inlineStr">
        <is>
          <t xml:space="preserve">  Live summary across all pharmacies. Check every Sunday evening.</t>
        </is>
      </c>
    </row>
    <row r="9" ht="18" customHeight="1">
      <c r="A9" s="4" t="inlineStr">
        <is>
          <t xml:space="preserve">  📄 Form Responses 1</t>
        </is>
      </c>
      <c r="D9" s="5" t="inlineStr">
        <is>
          <t xml:space="preserve">  Auto-populated by Google Form. DO NOT edit this tab manually.</t>
        </is>
      </c>
    </row>
    <row r="11" ht="18" customHeight="1">
      <c r="A11" s="3" t="inlineStr">
        <is>
          <t>COLUMN GUIDE — MARY WANJIKU PHARMACY TAB</t>
        </is>
      </c>
    </row>
    <row r="12" ht="18" customHeight="1">
      <c r="A12" s="8" t="inlineStr">
        <is>
          <t>Col</t>
        </is>
      </c>
      <c r="B12" s="8" t="inlineStr">
        <is>
          <t>Header</t>
        </is>
      </c>
      <c r="C12" s="8" t="inlineStr">
        <is>
          <t>Type</t>
        </is>
      </c>
      <c r="D12" s="8" t="inlineStr">
        <is>
          <t>Description</t>
        </is>
      </c>
    </row>
    <row r="13" ht="28" customHeight="1">
      <c r="A13" s="9" t="inlineStr">
        <is>
          <t>A</t>
        </is>
      </c>
      <c r="B13" s="4" t="inlineStr">
        <is>
          <t>Drug Name</t>
        </is>
      </c>
      <c r="C13" s="10" t="inlineStr">
        <is>
          <t>YELLOW</t>
        </is>
      </c>
      <c r="D13" s="11" t="inlineStr">
        <is>
          <t>Enter once on setup. Generic name + strength + form only. Must match Form dropdown exactly.</t>
        </is>
      </c>
    </row>
    <row r="14" ht="28" customHeight="1">
      <c r="A14" s="12" t="inlineStr">
        <is>
          <t>B</t>
        </is>
      </c>
      <c r="B14" s="6" t="inlineStr">
        <is>
          <t>Unit</t>
        </is>
      </c>
      <c r="C14" s="10" t="inlineStr">
        <is>
          <t>YELLOW</t>
        </is>
      </c>
      <c r="D14" s="13" t="inlineStr">
        <is>
          <t>Enter once. tabs / caps / bottles / vials / sachets / inhalers / etc.</t>
        </is>
      </c>
    </row>
    <row r="15" ht="28" customHeight="1">
      <c r="A15" s="9" t="inlineStr">
        <is>
          <t>C</t>
        </is>
      </c>
      <c r="B15" s="4" t="inlineStr">
        <is>
          <t>Current Stock ★</t>
        </is>
      </c>
      <c r="C15" s="14" t="inlineStr">
        <is>
          <t>GREEN</t>
        </is>
      </c>
      <c r="D15" s="11" t="inlineStr">
        <is>
          <t>AUTO from Form entries + col M opening stock. Never type here. Updates every time Form is submitted.</t>
        </is>
      </c>
    </row>
    <row r="16" ht="28" customHeight="1">
      <c r="A16" s="12" t="inlineStr">
        <is>
          <t>D</t>
        </is>
      </c>
      <c r="B16" s="6" t="inlineStr">
        <is>
          <t>Weekly Disp. Avg</t>
        </is>
      </c>
      <c r="C16" s="14" t="inlineStr">
        <is>
          <t>GREEN</t>
        </is>
      </c>
      <c r="D16" s="13" t="inlineStr">
        <is>
          <t>AUTO — SUMPRODUCT of last 90 days dispensed entries from Form Responses, divided by weeks.</t>
        </is>
      </c>
    </row>
    <row r="17" ht="28" customHeight="1">
      <c r="A17" s="9" t="inlineStr">
        <is>
          <t>E</t>
        </is>
      </c>
      <c r="B17" s="4" t="inlineStr">
        <is>
          <t>Daily Avg</t>
        </is>
      </c>
      <c r="C17" s="14" t="inlineStr">
        <is>
          <t>GREEN</t>
        </is>
      </c>
      <c r="D17" s="11" t="inlineStr">
        <is>
          <t>AUTO — col D ÷ 7. Used internally by Days Remaining formula.</t>
        </is>
      </c>
    </row>
    <row r="18" ht="28" customHeight="1">
      <c r="A18" s="12" t="inlineStr">
        <is>
          <t>F</t>
        </is>
      </c>
      <c r="B18" s="6" t="inlineStr">
        <is>
          <t>Days Remaining ★</t>
        </is>
      </c>
      <c r="C18" s="14" t="inlineStr">
        <is>
          <t>GREEN</t>
        </is>
      </c>
      <c r="D18" s="13" t="inlineStr">
        <is>
          <t>AUTO — Current Stock ÷ Daily Avg. THE KEY NUMBER. Scan this every Sunday.</t>
        </is>
      </c>
    </row>
    <row r="19" ht="28" customHeight="1">
      <c r="A19" s="9" t="inlineStr">
        <is>
          <t>G</t>
        </is>
      </c>
      <c r="B19" s="4" t="inlineStr">
        <is>
          <t>Regional Avg (Days)</t>
        </is>
      </c>
      <c r="C19" s="10" t="inlineStr">
        <is>
          <t>YELLOW</t>
        </is>
      </c>
      <c r="D19" s="11" t="inlineStr">
        <is>
          <t>Manual benchmark. Nakuru averages pre-loaded. Update monthly from Overview Dashboard once 3+ pharmacies enrolled.</t>
        </is>
      </c>
    </row>
    <row r="20" ht="28" customHeight="1">
      <c r="A20" s="12" t="inlineStr">
        <is>
          <t>H</t>
        </is>
      </c>
      <c r="B20" s="6" t="inlineStr">
        <is>
          <t>Stock Status</t>
        </is>
      </c>
      <c r="C20" s="14" t="inlineStr">
        <is>
          <t>GREEN</t>
        </is>
      </c>
      <c r="D20" s="13" t="inlineStr">
        <is>
          <t>AUTO — STOCKOUT (0d) / CRITICAL (≤7d) / LOW (≤14d) / ADEQUATE (≤30d) / GOOD (&gt;30d).</t>
        </is>
      </c>
    </row>
    <row r="21" ht="28" customHeight="1">
      <c r="A21" s="9" t="inlineStr">
        <is>
          <t>I</t>
        </is>
      </c>
      <c r="B21" s="4" t="inlineStr">
        <is>
          <t>Nearest Expiry</t>
        </is>
      </c>
      <c r="C21" s="14" t="inlineStr">
        <is>
          <t>GREEN</t>
        </is>
      </c>
      <c r="D21" s="11" t="inlineStr">
        <is>
          <t>AUTO — pulls nearest future expiry date from Batch Register for this drug. Update Batch Register when stock received.</t>
        </is>
      </c>
    </row>
    <row r="22" ht="28" customHeight="1">
      <c r="A22" s="12" t="inlineStr">
        <is>
          <t>J</t>
        </is>
      </c>
      <c r="B22" s="6" t="inlineStr">
        <is>
          <t>Days to Expiry</t>
        </is>
      </c>
      <c r="C22" s="14" t="inlineStr">
        <is>
          <t>GREEN</t>
        </is>
      </c>
      <c r="D22" s="13" t="inlineStr">
        <is>
          <t>AUTO — INT(I - TODAY()). Positive = days remaining. Negative = already expired.</t>
        </is>
      </c>
    </row>
    <row r="23" ht="28" customHeight="1">
      <c r="A23" s="9" t="inlineStr">
        <is>
          <t>K</t>
        </is>
      </c>
      <c r="B23" s="4" t="inlineStr">
        <is>
          <t>Expiry Status</t>
        </is>
      </c>
      <c r="C23" s="14" t="inlineStr">
        <is>
          <t>GREEN</t>
        </is>
      </c>
      <c r="D23" s="11" t="inlineStr">
        <is>
          <t>AUTO — EXPIRED / EXPIRES SOON (≤30d) / EXPIRING 60D (≤60d) / OK.</t>
        </is>
      </c>
    </row>
    <row r="24" ht="28" customHeight="1">
      <c r="A24" s="12" t="inlineStr">
        <is>
          <t>L</t>
        </is>
      </c>
      <c r="B24" s="6" t="inlineStr">
        <is>
          <t>Alert Flag ★</t>
        </is>
      </c>
      <c r="C24" s="14" t="inlineStr">
        <is>
          <t>GREEN</t>
        </is>
      </c>
      <c r="D24" s="13" t="inlineStr">
        <is>
          <t>AUTO — ACTION NEEDED / MONITOR / OK. SCAN THIS COLUMN EVERY SUNDAY. Any ACTION NEEDED row goes in Monday WhatsApp.</t>
        </is>
      </c>
    </row>
    <row r="25" ht="28" customHeight="1">
      <c r="A25" s="9" t="inlineStr">
        <is>
          <t>M</t>
        </is>
      </c>
      <c r="B25" s="4" t="inlineStr">
        <is>
          <t>Opening Stock</t>
        </is>
      </c>
      <c r="C25" s="10" t="inlineStr">
        <is>
          <t>YELLOW</t>
        </is>
      </c>
      <c r="D25" s="11" t="inlineStr">
        <is>
          <t>Enter ONCE on Day 1 (physical count). Then LOCK this column. Never change unless you do a full recount.</t>
        </is>
      </c>
    </row>
    <row r="27" ht="18" customHeight="1">
      <c r="A27" s="3" t="inlineStr">
        <is>
          <t>KEY RULES</t>
        </is>
      </c>
    </row>
    <row r="28" ht="26" customHeight="1">
      <c r="A28" s="15" t="inlineStr">
        <is>
          <t xml:space="preserve">  1.  YELLOW cells = you enter data manually.  GREEN cells = auto-formula — never type in a green cell.</t>
        </is>
      </c>
    </row>
    <row r="29" ht="26" customHeight="1">
      <c r="A29" s="16" t="inlineStr">
        <is>
          <t xml:space="preserve">  2.  Column A (Drug Name) MUST match exactly what is in the Google Form drug dropdown. One typo = formula finds nothing.</t>
        </is>
      </c>
    </row>
    <row r="30" ht="26" customHeight="1">
      <c r="A30" s="15" t="inlineStr">
        <is>
          <t xml:space="preserve">  3.  Column M (Opening Stock): enter the physical count from Day 1. Lock the column. Only change after a full physical recount.</t>
        </is>
      </c>
    </row>
    <row r="31" ht="26" customHeight="1">
      <c r="A31" s="16" t="inlineStr">
        <is>
          <t xml:space="preserve">  4.  Batch Register: add one row every time you receive a new batch of any drug. This drives the automatic expiry tracking.</t>
        </is>
      </c>
    </row>
    <row r="32" ht="26" customHeight="1">
      <c r="A32" s="15" t="inlineStr">
        <is>
          <t xml:space="preserve">  5.  One Google Form for all pharmacies. One Form Responses tab. Each pharmacy tab filters by its own name in column B of the form.</t>
        </is>
      </c>
    </row>
    <row r="33" ht="26" customHeight="1">
      <c r="A33" s="16" t="inlineStr">
        <is>
          <t xml:space="preserve">  6.  To add a pharmacy: right-click the Mary Wanjiku tab → Duplicate → Rename → update col A drugs and col M opening stocks.</t>
        </is>
      </c>
    </row>
    <row r="34" ht="26" customHeight="1">
      <c r="A34" s="15" t="inlineStr">
        <is>
          <t xml:space="preserve">  7.  Column L (Alert Flag) is your Sunday scan. Any 'ACTION NEEDED' row goes straight into Monday's WhatsApp report.</t>
        </is>
      </c>
    </row>
    <row r="35" ht="26" customHeight="1">
      <c r="A35" s="16" t="inlineStr">
        <is>
          <t xml:space="preserve">  8.  Regional Avg (col G): update monthly once you have 3+ pharmacies. Pre-loaded Nakuru benchmarks are reasonable starting values.</t>
        </is>
      </c>
    </row>
  </sheetData>
  <mergeCells count="37">
    <mergeCell ref="A30:H30"/>
    <mergeCell ref="D20:H20"/>
    <mergeCell ref="D19:H19"/>
    <mergeCell ref="A11:H11"/>
    <mergeCell ref="A1:H1"/>
    <mergeCell ref="D22:H22"/>
    <mergeCell ref="D21:H21"/>
    <mergeCell ref="D6:H6"/>
    <mergeCell ref="A5:C5"/>
    <mergeCell ref="A8:C8"/>
    <mergeCell ref="D13:H13"/>
    <mergeCell ref="A27:H27"/>
    <mergeCell ref="D17:H17"/>
    <mergeCell ref="D7:H7"/>
    <mergeCell ref="D16:H16"/>
    <mergeCell ref="A2:H2"/>
    <mergeCell ref="A9:C9"/>
    <mergeCell ref="A33:H33"/>
    <mergeCell ref="A32:H32"/>
    <mergeCell ref="D18:H18"/>
    <mergeCell ref="D9:H9"/>
    <mergeCell ref="A4:H4"/>
    <mergeCell ref="D12:H12"/>
    <mergeCell ref="D8:H8"/>
    <mergeCell ref="D25:H25"/>
    <mergeCell ref="D15:H15"/>
    <mergeCell ref="A29:H29"/>
    <mergeCell ref="A35:H35"/>
    <mergeCell ref="D24:H24"/>
    <mergeCell ref="A6:C6"/>
    <mergeCell ref="A28:H28"/>
    <mergeCell ref="D5:H5"/>
    <mergeCell ref="D23:H23"/>
    <mergeCell ref="D14:H14"/>
    <mergeCell ref="A7:C7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6B6B"/>
    <outlinePr summaryBelow="1" summaryRight="1"/>
    <pageSetUpPr/>
  </sheetPr>
  <dimension ref="A1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3" customWidth="1" min="8" max="8"/>
    <col width="14" customWidth="1" min="9" max="9"/>
    <col width="10" customWidth="1" min="10" max="10"/>
    <col width="14" customWidth="1" min="11" max="11"/>
    <col width="16" customWidth="1" min="12" max="12"/>
    <col width="12" customWidth="1" min="13" max="13"/>
  </cols>
  <sheetData>
    <row r="1" ht="30" customHeight="1">
      <c r="A1" s="17" t="inlineStr">
        <is>
          <t>⬡  DAWA INTEL — Mary Wanjiku Pharmacy  |  Weekly Stock Intelligence Tracker</t>
        </is>
      </c>
    </row>
    <row r="2" ht="18" customHeight="1">
      <c r="A2" s="10" t="inlineStr">
        <is>
          <t>🟡 YELLOW = Enter manually</t>
        </is>
      </c>
      <c r="E2" s="14" t="inlineStr">
        <is>
          <t>🟢 GREEN = Auto-formula (never type here)</t>
        </is>
      </c>
      <c r="L2" s="9" t="inlineStr">
        <is>
          <t>★ = Key columns to check</t>
        </is>
      </c>
    </row>
    <row r="3" ht="34" customHeight="1">
      <c r="A3" s="18" t="inlineStr">
        <is>
          <t>Drug Name</t>
        </is>
      </c>
      <c r="B3" s="18" t="inlineStr">
        <is>
          <t>Unit</t>
        </is>
      </c>
      <c r="C3" s="19" t="inlineStr">
        <is>
          <t>Current Stock ★</t>
        </is>
      </c>
      <c r="D3" s="19" t="inlineStr">
        <is>
          <t>Weekly Disp. Avg</t>
        </is>
      </c>
      <c r="E3" s="19" t="inlineStr">
        <is>
          <t>Daily Avg</t>
        </is>
      </c>
      <c r="F3" s="20" t="inlineStr">
        <is>
          <t>Days Remaining ★</t>
        </is>
      </c>
      <c r="G3" s="18" t="inlineStr">
        <is>
          <t>Regional Avg
(Days)</t>
        </is>
      </c>
      <c r="H3" s="20" t="inlineStr">
        <is>
          <t>Stock Status</t>
        </is>
      </c>
      <c r="I3" s="19" t="inlineStr">
        <is>
          <t>Nearest Expiry
(Auto)</t>
        </is>
      </c>
      <c r="J3" s="19" t="inlineStr">
        <is>
          <t>Days to
Expiry</t>
        </is>
      </c>
      <c r="K3" s="20" t="inlineStr">
        <is>
          <t>Expiry Status</t>
        </is>
      </c>
      <c r="L3" s="20" t="inlineStr">
        <is>
          <t>Alert Flag
★ SCAN SUN</t>
        </is>
      </c>
      <c r="M3" s="18" t="inlineStr">
        <is>
          <t>Opening Stock
(Day 1)</t>
        </is>
      </c>
    </row>
    <row r="4" ht="20" customHeight="1">
      <c r="A4" s="21" t="inlineStr">
        <is>
          <t>Metformin 500mg tabs</t>
        </is>
      </c>
      <c r="B4" s="22" t="inlineStr">
        <is>
          <t>tabs</t>
        </is>
      </c>
      <c r="C4" s="23">
        <f>IFERROR(M4+SUMPRODUCT(('Form Responses 1'!$B$2:$B$500="Mary Wanjiku Pharmacy")*('Form Responses 1'!$E$2:$E$500=A4)*('Form Responses 1'!$F$2:$F$500="Received")*'Form Responses 1'!$G$2:$G$500)-SUMPRODUCT(('Form Responses 1'!$B$2:$B$500="Mary Wanjiku Pharmacy")*('Form Responses 1'!$E$2:$E$500=A4)*('Form Responses 1'!$F$2:$F$500="Dispensed")*'Form Responses 1'!$G$2:$G$500)-SUMPRODUCT(('Form Responses 1'!$B$2:$B$500="Mary Wanjiku Pharmacy")*('Form Responses 1'!$E$2:$E$500=A4)*('Form Responses 1'!$F$2:$F$500="Expired")*'Form Responses 1'!$G$2:$G$500)+SUMPRODUCT(('Form Responses 1'!$B$2:$B$500="Mary Wanjiku Pharmacy")*('Form Responses 1'!$E$2:$E$500=A4)*('Form Responses 1'!$F$2:$F$500="Returned")*'Form Responses 1'!$G$2:$G$500),0)</f>
        <v/>
      </c>
      <c r="D4" s="24">
        <f>IFERROR(SUMPRODUCT(('Form Responses 1'!$B$2:$B$500="Mary Wanjiku Pharmacy")*('Form Responses 1'!$E$2:$E$500=A4)*('Form Responses 1'!$F$2:$F$500="Dispensed")*(DATEVALUE(TEXT('Form Responses 1'!$C$2:$C$500,"YYYY-MM-DD"))&gt;=(TODAY()-90))*'Form Responses 1'!$G$2:$G$500)/MAX(1,SUMPRODUCT(('Form Responses 1'!$B$2:$B$500="Mary Wanjiku Pharmacy")*('Form Responses 1'!$E$2:$E$500=A4)*('Form Responses 1'!$F$2:$F$500="Dispensed")*(DATEVALUE(TEXT('Form Responses 1'!$C$2:$C$500,"YYYY-MM-DD"))&gt;=(TODAY()-90)))/7*7)*7,0)</f>
        <v/>
      </c>
      <c r="E4" s="25">
        <f>IFERROR(D4/7,0)</f>
        <v/>
      </c>
      <c r="F4" s="26">
        <f>IFERROR(IF(E4=0,IF(C4&gt;0,999,0),ROUND(C4/E4,0)),0)</f>
        <v/>
      </c>
      <c r="G4" s="22" t="n">
        <v>28</v>
      </c>
      <c r="H4" s="26">
        <f>IF(F4&lt;=0,"STOCKOUT",IF(F4&lt;=7,"CRITICAL",IF(F4&lt;=14,"LOW",IF(F4&lt;=30,"ADEQUATE","GOOD"))))</f>
        <v/>
      </c>
      <c r="I4" s="27">
        <f>IFERROR(TEXT(MINIFS('Batch Register'!$F:$F,'Batch Register'!$A:$A,"Mary Wanjiku Pharmacy",'Batch Register'!$B:$B,A4,'Batch Register'!$G:$G,"Active",'Batch Register'!$F:$F,"&gt;"&amp;TODAY()),"YYYY-MM-DD"),"No active batch")</f>
        <v/>
      </c>
      <c r="J4" s="27">
        <f>IF(OR(I4="",I4="No active batch"),"",INT(DATEVALUE(I4)-TODAY()))</f>
        <v/>
      </c>
      <c r="K4" s="26">
        <f>IF(OR(I4="",I4="No active batch"),"OK",IF(J4&lt;=0,"EXPIRED",IF(J4&lt;=30,"EXPIRES SOON",IF(J4&lt;=60,"EXPIRING 60D","OK"))))</f>
        <v/>
      </c>
      <c r="L4" s="26">
        <f>IF(OR(H4="STOCKOUT",H4="CRITICAL",K4="EXPIRED",K4="EXPIRES SOON"),"ACTION NEEDED",IF(OR(H4="LOW",K4="EXPIRING 60D"),"MONITOR","OK"))</f>
        <v/>
      </c>
      <c r="M4" s="28" t="n">
        <v>500</v>
      </c>
    </row>
    <row r="5" ht="20" customHeight="1">
      <c r="A5" s="21" t="inlineStr">
        <is>
          <t>Paracetamol 500mg tabs</t>
        </is>
      </c>
      <c r="B5" s="22" t="inlineStr">
        <is>
          <t>tabs</t>
        </is>
      </c>
      <c r="C5" s="23">
        <f>IFERROR(M5+SUMPRODUCT(('Form Responses 1'!$B$2:$B$500="Mary Wanjiku Pharmacy")*('Form Responses 1'!$E$2:$E$500=A5)*('Form Responses 1'!$F$2:$F$500="Received")*'Form Responses 1'!$G$2:$G$500)-SUMPRODUCT(('Form Responses 1'!$B$2:$B$500="Mary Wanjiku Pharmacy")*('Form Responses 1'!$E$2:$E$500=A5)*('Form Responses 1'!$F$2:$F$500="Dispensed")*'Form Responses 1'!$G$2:$G$500)-SUMPRODUCT(('Form Responses 1'!$B$2:$B$500="Mary Wanjiku Pharmacy")*('Form Responses 1'!$E$2:$E$500=A5)*('Form Responses 1'!$F$2:$F$500="Expired")*'Form Responses 1'!$G$2:$G$500)+SUMPRODUCT(('Form Responses 1'!$B$2:$B$500="Mary Wanjiku Pharmacy")*('Form Responses 1'!$E$2:$E$500=A5)*('Form Responses 1'!$F$2:$F$500="Returned")*'Form Responses 1'!$G$2:$G$500),0)</f>
        <v/>
      </c>
      <c r="D5" s="24">
        <f>IFERROR(SUMPRODUCT(('Form Responses 1'!$B$2:$B$500="Mary Wanjiku Pharmacy")*('Form Responses 1'!$E$2:$E$500=A5)*('Form Responses 1'!$F$2:$F$500="Dispensed")*(DATEVALUE(TEXT('Form Responses 1'!$C$2:$C$500,"YYYY-MM-DD"))&gt;=(TODAY()-90))*'Form Responses 1'!$G$2:$G$500)/MAX(1,SUMPRODUCT(('Form Responses 1'!$B$2:$B$500="Mary Wanjiku Pharmacy")*('Form Responses 1'!$E$2:$E$500=A5)*('Form Responses 1'!$F$2:$F$500="Dispensed")*(DATEVALUE(TEXT('Form Responses 1'!$C$2:$C$500,"YYYY-MM-DD"))&gt;=(TODAY()-90)))/7*7)*7,0)</f>
        <v/>
      </c>
      <c r="E5" s="25">
        <f>IFERROR(D5/7,0)</f>
        <v/>
      </c>
      <c r="F5" s="26">
        <f>IFERROR(IF(E5=0,IF(C5&gt;0,999,0),ROUND(C5/E5,0)),0)</f>
        <v/>
      </c>
      <c r="G5" s="22" t="n">
        <v>14</v>
      </c>
      <c r="H5" s="26">
        <f>IF(F5&lt;=0,"STOCKOUT",IF(F5&lt;=7,"CRITICAL",IF(F5&lt;=14,"LOW",IF(F5&lt;=30,"ADEQUATE","GOOD"))))</f>
        <v/>
      </c>
      <c r="I5" s="27">
        <f>IFERROR(TEXT(MINIFS('Batch Register'!$F:$F,'Batch Register'!$A:$A,"Mary Wanjiku Pharmacy",'Batch Register'!$B:$B,A5,'Batch Register'!$G:$G,"Active",'Batch Register'!$F:$F,"&gt;"&amp;TODAY()),"YYYY-MM-DD"),"No active batch")</f>
        <v/>
      </c>
      <c r="J5" s="27">
        <f>IF(OR(I5="",I5="No active batch"),"",INT(DATEVALUE(I5)-TODAY()))</f>
        <v/>
      </c>
      <c r="K5" s="26">
        <f>IF(OR(I5="",I5="No active batch"),"OK",IF(J5&lt;=0,"EXPIRED",IF(J5&lt;=30,"EXPIRES SOON",IF(J5&lt;=60,"EXPIRING 60D","OK"))))</f>
        <v/>
      </c>
      <c r="L5" s="26">
        <f>IF(OR(H5="STOCKOUT",H5="CRITICAL",K5="EXPIRED",K5="EXPIRES SOON"),"ACTION NEEDED",IF(OR(H5="LOW",K5="EXPIRING 60D"),"MONITOR","OK"))</f>
        <v/>
      </c>
      <c r="M5" s="28" t="n">
        <v>800</v>
      </c>
    </row>
    <row r="6" ht="20" customHeight="1">
      <c r="A6" s="21" t="inlineStr">
        <is>
          <t>Amoxicillin 250mg caps</t>
        </is>
      </c>
      <c r="B6" s="22" t="inlineStr">
        <is>
          <t>caps</t>
        </is>
      </c>
      <c r="C6" s="23">
        <f>IFERROR(M6+SUMPRODUCT(('Form Responses 1'!$B$2:$B$500="Mary Wanjiku Pharmacy")*('Form Responses 1'!$E$2:$E$500=A6)*('Form Responses 1'!$F$2:$F$500="Received")*'Form Responses 1'!$G$2:$G$500)-SUMPRODUCT(('Form Responses 1'!$B$2:$B$500="Mary Wanjiku Pharmacy")*('Form Responses 1'!$E$2:$E$500=A6)*('Form Responses 1'!$F$2:$F$500="Dispensed")*'Form Responses 1'!$G$2:$G$500)-SUMPRODUCT(('Form Responses 1'!$B$2:$B$500="Mary Wanjiku Pharmacy")*('Form Responses 1'!$E$2:$E$500=A6)*('Form Responses 1'!$F$2:$F$500="Expired")*'Form Responses 1'!$G$2:$G$500)+SUMPRODUCT(('Form Responses 1'!$B$2:$B$500="Mary Wanjiku Pharmacy")*('Form Responses 1'!$E$2:$E$500=A6)*('Form Responses 1'!$F$2:$F$500="Returned")*'Form Responses 1'!$G$2:$G$500),0)</f>
        <v/>
      </c>
      <c r="D6" s="24">
        <f>IFERROR(SUMPRODUCT(('Form Responses 1'!$B$2:$B$500="Mary Wanjiku Pharmacy")*('Form Responses 1'!$E$2:$E$500=A6)*('Form Responses 1'!$F$2:$F$500="Dispensed")*(DATEVALUE(TEXT('Form Responses 1'!$C$2:$C$500,"YYYY-MM-DD"))&gt;=(TODAY()-90))*'Form Responses 1'!$G$2:$G$500)/MAX(1,SUMPRODUCT(('Form Responses 1'!$B$2:$B$500="Mary Wanjiku Pharmacy")*('Form Responses 1'!$E$2:$E$500=A6)*('Form Responses 1'!$F$2:$F$500="Dispensed")*(DATEVALUE(TEXT('Form Responses 1'!$C$2:$C$500,"YYYY-MM-DD"))&gt;=(TODAY()-90)))/7*7)*7,0)</f>
        <v/>
      </c>
      <c r="E6" s="25">
        <f>IFERROR(D6/7,0)</f>
        <v/>
      </c>
      <c r="F6" s="26">
        <f>IFERROR(IF(E6=0,IF(C6&gt;0,999,0),ROUND(C6/E6,0)),0)</f>
        <v/>
      </c>
      <c r="G6" s="22" t="n">
        <v>18</v>
      </c>
      <c r="H6" s="26">
        <f>IF(F6&lt;=0,"STOCKOUT",IF(F6&lt;=7,"CRITICAL",IF(F6&lt;=14,"LOW",IF(F6&lt;=30,"ADEQUATE","GOOD"))))</f>
        <v/>
      </c>
      <c r="I6" s="27">
        <f>IFERROR(TEXT(MINIFS('Batch Register'!$F:$F,'Batch Register'!$A:$A,"Mary Wanjiku Pharmacy",'Batch Register'!$B:$B,A6,'Batch Register'!$G:$G,"Active",'Batch Register'!$F:$F,"&gt;"&amp;TODAY()),"YYYY-MM-DD"),"No active batch")</f>
        <v/>
      </c>
      <c r="J6" s="27">
        <f>IF(OR(I6="",I6="No active batch"),"",INT(DATEVALUE(I6)-TODAY()))</f>
        <v/>
      </c>
      <c r="K6" s="26">
        <f>IF(OR(I6="",I6="No active batch"),"OK",IF(J6&lt;=0,"EXPIRED",IF(J6&lt;=30,"EXPIRES SOON",IF(J6&lt;=60,"EXPIRING 60D","OK"))))</f>
        <v/>
      </c>
      <c r="L6" s="26">
        <f>IF(OR(H6="STOCKOUT",H6="CRITICAL",K6="EXPIRED",K6="EXPIRES SOON"),"ACTION NEEDED",IF(OR(H6="LOW",K6="EXPIRING 60D"),"MONITOR","OK"))</f>
        <v/>
      </c>
      <c r="M6" s="28" t="n">
        <v>400</v>
      </c>
    </row>
    <row r="7" ht="20" customHeight="1">
      <c r="A7" s="21" t="inlineStr">
        <is>
          <t>Amlodipine 5mg tabs</t>
        </is>
      </c>
      <c r="B7" s="22" t="inlineStr">
        <is>
          <t>tabs</t>
        </is>
      </c>
      <c r="C7" s="23">
        <f>IFERROR(M7+SUMPRODUCT(('Form Responses 1'!$B$2:$B$500="Mary Wanjiku Pharmacy")*('Form Responses 1'!$E$2:$E$500=A7)*('Form Responses 1'!$F$2:$F$500="Received")*'Form Responses 1'!$G$2:$G$500)-SUMPRODUCT(('Form Responses 1'!$B$2:$B$500="Mary Wanjiku Pharmacy")*('Form Responses 1'!$E$2:$E$500=A7)*('Form Responses 1'!$F$2:$F$500="Dispensed")*'Form Responses 1'!$G$2:$G$500)-SUMPRODUCT(('Form Responses 1'!$B$2:$B$500="Mary Wanjiku Pharmacy")*('Form Responses 1'!$E$2:$E$500=A7)*('Form Responses 1'!$F$2:$F$500="Expired")*'Form Responses 1'!$G$2:$G$500)+SUMPRODUCT(('Form Responses 1'!$B$2:$B$500="Mary Wanjiku Pharmacy")*('Form Responses 1'!$E$2:$E$500=A7)*('Form Responses 1'!$F$2:$F$500="Returned")*'Form Responses 1'!$G$2:$G$500),0)</f>
        <v/>
      </c>
      <c r="D7" s="24">
        <f>IFERROR(SUMPRODUCT(('Form Responses 1'!$B$2:$B$500="Mary Wanjiku Pharmacy")*('Form Responses 1'!$E$2:$E$500=A7)*('Form Responses 1'!$F$2:$F$500="Dispensed")*(DATEVALUE(TEXT('Form Responses 1'!$C$2:$C$500,"YYYY-MM-DD"))&gt;=(TODAY()-90))*'Form Responses 1'!$G$2:$G$500)/MAX(1,SUMPRODUCT(('Form Responses 1'!$B$2:$B$500="Mary Wanjiku Pharmacy")*('Form Responses 1'!$E$2:$E$500=A7)*('Form Responses 1'!$F$2:$F$500="Dispensed")*(DATEVALUE(TEXT('Form Responses 1'!$C$2:$C$500,"YYYY-MM-DD"))&gt;=(TODAY()-90)))/7*7)*7,0)</f>
        <v/>
      </c>
      <c r="E7" s="25">
        <f>IFERROR(D7/7,0)</f>
        <v/>
      </c>
      <c r="F7" s="26">
        <f>IFERROR(IF(E7=0,IF(C7&gt;0,999,0),ROUND(C7/E7,0)),0)</f>
        <v/>
      </c>
      <c r="G7" s="22" t="n">
        <v>26</v>
      </c>
      <c r="H7" s="26">
        <f>IF(F7&lt;=0,"STOCKOUT",IF(F7&lt;=7,"CRITICAL",IF(F7&lt;=14,"LOW",IF(F7&lt;=30,"ADEQUATE","GOOD"))))</f>
        <v/>
      </c>
      <c r="I7" s="27">
        <f>IFERROR(TEXT(MINIFS('Batch Register'!$F:$F,'Batch Register'!$A:$A,"Mary Wanjiku Pharmacy",'Batch Register'!$B:$B,A7,'Batch Register'!$G:$G,"Active",'Batch Register'!$F:$F,"&gt;"&amp;TODAY()),"YYYY-MM-DD"),"No active batch")</f>
        <v/>
      </c>
      <c r="J7" s="27">
        <f>IF(OR(I7="",I7="No active batch"),"",INT(DATEVALUE(I7)-TODAY()))</f>
        <v/>
      </c>
      <c r="K7" s="26">
        <f>IF(OR(I7="",I7="No active batch"),"OK",IF(J7&lt;=0,"EXPIRED",IF(J7&lt;=30,"EXPIRES SOON",IF(J7&lt;=60,"EXPIRING 60D","OK"))))</f>
        <v/>
      </c>
      <c r="L7" s="26">
        <f>IF(OR(H7="STOCKOUT",H7="CRITICAL",K7="EXPIRED",K7="EXPIRES SOON"),"ACTION NEEDED",IF(OR(H7="LOW",K7="EXPIRING 60D"),"MONITOR","OK"))</f>
        <v/>
      </c>
      <c r="M7" s="28" t="n">
        <v>300</v>
      </c>
    </row>
    <row r="8" ht="20" customHeight="1">
      <c r="A8" s="21" t="inlineStr">
        <is>
          <t>Ibuprofen 400mg tabs</t>
        </is>
      </c>
      <c r="B8" s="22" t="inlineStr">
        <is>
          <t>tabs</t>
        </is>
      </c>
      <c r="C8" s="23">
        <f>IFERROR(M8+SUMPRODUCT(('Form Responses 1'!$B$2:$B$500="Mary Wanjiku Pharmacy")*('Form Responses 1'!$E$2:$E$500=A8)*('Form Responses 1'!$F$2:$F$500="Received")*'Form Responses 1'!$G$2:$G$500)-SUMPRODUCT(('Form Responses 1'!$B$2:$B$500="Mary Wanjiku Pharmacy")*('Form Responses 1'!$E$2:$E$500=A8)*('Form Responses 1'!$F$2:$F$500="Dispensed")*'Form Responses 1'!$G$2:$G$500)-SUMPRODUCT(('Form Responses 1'!$B$2:$B$500="Mary Wanjiku Pharmacy")*('Form Responses 1'!$E$2:$E$500=A8)*('Form Responses 1'!$F$2:$F$500="Expired")*'Form Responses 1'!$G$2:$G$500)+SUMPRODUCT(('Form Responses 1'!$B$2:$B$500="Mary Wanjiku Pharmacy")*('Form Responses 1'!$E$2:$E$500=A8)*('Form Responses 1'!$F$2:$F$500="Returned")*'Form Responses 1'!$G$2:$G$500),0)</f>
        <v/>
      </c>
      <c r="D8" s="24">
        <f>IFERROR(SUMPRODUCT(('Form Responses 1'!$B$2:$B$500="Mary Wanjiku Pharmacy")*('Form Responses 1'!$E$2:$E$500=A8)*('Form Responses 1'!$F$2:$F$500="Dispensed")*(DATEVALUE(TEXT('Form Responses 1'!$C$2:$C$500,"YYYY-MM-DD"))&gt;=(TODAY()-90))*'Form Responses 1'!$G$2:$G$500)/MAX(1,SUMPRODUCT(('Form Responses 1'!$B$2:$B$500="Mary Wanjiku Pharmacy")*('Form Responses 1'!$E$2:$E$500=A8)*('Form Responses 1'!$F$2:$F$500="Dispensed")*(DATEVALUE(TEXT('Form Responses 1'!$C$2:$C$500,"YYYY-MM-DD"))&gt;=(TODAY()-90)))/7*7)*7,0)</f>
        <v/>
      </c>
      <c r="E8" s="25">
        <f>IFERROR(D8/7,0)</f>
        <v/>
      </c>
      <c r="F8" s="26">
        <f>IFERROR(IF(E8=0,IF(C8&gt;0,999,0),ROUND(C8/E8,0)),0)</f>
        <v/>
      </c>
      <c r="G8" s="22" t="n">
        <v>12</v>
      </c>
      <c r="H8" s="26">
        <f>IF(F8&lt;=0,"STOCKOUT",IF(F8&lt;=7,"CRITICAL",IF(F8&lt;=14,"LOW",IF(F8&lt;=30,"ADEQUATE","GOOD"))))</f>
        <v/>
      </c>
      <c r="I8" s="27">
        <f>IFERROR(TEXT(MINIFS('Batch Register'!$F:$F,'Batch Register'!$A:$A,"Mary Wanjiku Pharmacy",'Batch Register'!$B:$B,A8,'Batch Register'!$G:$G,"Active",'Batch Register'!$F:$F,"&gt;"&amp;TODAY()),"YYYY-MM-DD"),"No active batch")</f>
        <v/>
      </c>
      <c r="J8" s="27">
        <f>IF(OR(I8="",I8="No active batch"),"",INT(DATEVALUE(I8)-TODAY()))</f>
        <v/>
      </c>
      <c r="K8" s="26">
        <f>IF(OR(I8="",I8="No active batch"),"OK",IF(J8&lt;=0,"EXPIRED",IF(J8&lt;=30,"EXPIRES SOON",IF(J8&lt;=60,"EXPIRING 60D","OK"))))</f>
        <v/>
      </c>
      <c r="L8" s="26">
        <f>IF(OR(H8="STOCKOUT",H8="CRITICAL",K8="EXPIRED",K8="EXPIRES SOON"),"ACTION NEEDED",IF(OR(H8="LOW",K8="EXPIRING 60D"),"MONITOR","OK"))</f>
        <v/>
      </c>
      <c r="M8" s="28" t="n">
        <v>150</v>
      </c>
    </row>
    <row r="9" ht="20" customHeight="1">
      <c r="A9" s="21" t="inlineStr">
        <is>
          <t>ORS Sachet</t>
        </is>
      </c>
      <c r="B9" s="22" t="inlineStr">
        <is>
          <t>sachets</t>
        </is>
      </c>
      <c r="C9" s="23">
        <f>IFERROR(M9+SUMPRODUCT(('Form Responses 1'!$B$2:$B$500="Mary Wanjiku Pharmacy")*('Form Responses 1'!$E$2:$E$500=A9)*('Form Responses 1'!$F$2:$F$500="Received")*'Form Responses 1'!$G$2:$G$500)-SUMPRODUCT(('Form Responses 1'!$B$2:$B$500="Mary Wanjiku Pharmacy")*('Form Responses 1'!$E$2:$E$500=A9)*('Form Responses 1'!$F$2:$F$500="Dispensed")*'Form Responses 1'!$G$2:$G$500)-SUMPRODUCT(('Form Responses 1'!$B$2:$B$500="Mary Wanjiku Pharmacy")*('Form Responses 1'!$E$2:$E$500=A9)*('Form Responses 1'!$F$2:$F$500="Expired")*'Form Responses 1'!$G$2:$G$500)+SUMPRODUCT(('Form Responses 1'!$B$2:$B$500="Mary Wanjiku Pharmacy")*('Form Responses 1'!$E$2:$E$500=A9)*('Form Responses 1'!$F$2:$F$500="Returned")*'Form Responses 1'!$G$2:$G$500),0)</f>
        <v/>
      </c>
      <c r="D9" s="24">
        <f>IFERROR(SUMPRODUCT(('Form Responses 1'!$B$2:$B$500="Mary Wanjiku Pharmacy")*('Form Responses 1'!$E$2:$E$500=A9)*('Form Responses 1'!$F$2:$F$500="Dispensed")*(DATEVALUE(TEXT('Form Responses 1'!$C$2:$C$500,"YYYY-MM-DD"))&gt;=(TODAY()-90))*'Form Responses 1'!$G$2:$G$500)/MAX(1,SUMPRODUCT(('Form Responses 1'!$B$2:$B$500="Mary Wanjiku Pharmacy")*('Form Responses 1'!$E$2:$E$500=A9)*('Form Responses 1'!$F$2:$F$500="Dispensed")*(DATEVALUE(TEXT('Form Responses 1'!$C$2:$C$500,"YYYY-MM-DD"))&gt;=(TODAY()-90)))/7*7)*7,0)</f>
        <v/>
      </c>
      <c r="E9" s="25">
        <f>IFERROR(D9/7,0)</f>
        <v/>
      </c>
      <c r="F9" s="26">
        <f>IFERROR(IF(E9=0,IF(C9&gt;0,999,0),ROUND(C9/E9,0)),0)</f>
        <v/>
      </c>
      <c r="G9" s="22" t="n">
        <v>10</v>
      </c>
      <c r="H9" s="26">
        <f>IF(F9&lt;=0,"STOCKOUT",IF(F9&lt;=7,"CRITICAL",IF(F9&lt;=14,"LOW",IF(F9&lt;=30,"ADEQUATE","GOOD"))))</f>
        <v/>
      </c>
      <c r="I9" s="27">
        <f>IFERROR(TEXT(MINIFS('Batch Register'!$F:$F,'Batch Register'!$A:$A,"Mary Wanjiku Pharmacy",'Batch Register'!$B:$B,A9,'Batch Register'!$G:$G,"Active",'Batch Register'!$F:$F,"&gt;"&amp;TODAY()),"YYYY-MM-DD"),"No active batch")</f>
        <v/>
      </c>
      <c r="J9" s="27">
        <f>IF(OR(I9="",I9="No active batch"),"",INT(DATEVALUE(I9)-TODAY()))</f>
        <v/>
      </c>
      <c r="K9" s="26">
        <f>IF(OR(I9="",I9="No active batch"),"OK",IF(J9&lt;=0,"EXPIRED",IF(J9&lt;=30,"EXPIRES SOON",IF(J9&lt;=60,"EXPIRING 60D","OK"))))</f>
        <v/>
      </c>
      <c r="L9" s="26">
        <f>IF(OR(H9="STOCKOUT",H9="CRITICAL",K9="EXPIRED",K9="EXPIRES SOON"),"ACTION NEEDED",IF(OR(H9="LOW",K9="EXPIRING 60D"),"MONITOR","OK"))</f>
        <v/>
      </c>
      <c r="M9" s="28" t="n">
        <v>200</v>
      </c>
    </row>
    <row r="10" ht="20" customHeight="1">
      <c r="A10" s="21" t="inlineStr">
        <is>
          <t>Fluconazole 150mg caps</t>
        </is>
      </c>
      <c r="B10" s="22" t="inlineStr">
        <is>
          <t>caps</t>
        </is>
      </c>
      <c r="C10" s="23">
        <f>IFERROR(M10+SUMPRODUCT(('Form Responses 1'!$B$2:$B$500="Mary Wanjiku Pharmacy")*('Form Responses 1'!$E$2:$E$500=A10)*('Form Responses 1'!$F$2:$F$500="Received")*'Form Responses 1'!$G$2:$G$500)-SUMPRODUCT(('Form Responses 1'!$B$2:$B$500="Mary Wanjiku Pharmacy")*('Form Responses 1'!$E$2:$E$500=A10)*('Form Responses 1'!$F$2:$F$500="Dispensed")*'Form Responses 1'!$G$2:$G$500)-SUMPRODUCT(('Form Responses 1'!$B$2:$B$500="Mary Wanjiku Pharmacy")*('Form Responses 1'!$E$2:$E$500=A10)*('Form Responses 1'!$F$2:$F$500="Expired")*'Form Responses 1'!$G$2:$G$500)+SUMPRODUCT(('Form Responses 1'!$B$2:$B$500="Mary Wanjiku Pharmacy")*('Form Responses 1'!$E$2:$E$500=A10)*('Form Responses 1'!$F$2:$F$500="Returned")*'Form Responses 1'!$G$2:$G$500),0)</f>
        <v/>
      </c>
      <c r="D10" s="24">
        <f>IFERROR(SUMPRODUCT(('Form Responses 1'!$B$2:$B$500="Mary Wanjiku Pharmacy")*('Form Responses 1'!$E$2:$E$500=A10)*('Form Responses 1'!$F$2:$F$500="Dispensed")*(DATEVALUE(TEXT('Form Responses 1'!$C$2:$C$500,"YYYY-MM-DD"))&gt;=(TODAY()-90))*'Form Responses 1'!$G$2:$G$500)/MAX(1,SUMPRODUCT(('Form Responses 1'!$B$2:$B$500="Mary Wanjiku Pharmacy")*('Form Responses 1'!$E$2:$E$500=A10)*('Form Responses 1'!$F$2:$F$500="Dispensed")*(DATEVALUE(TEXT('Form Responses 1'!$C$2:$C$500,"YYYY-MM-DD"))&gt;=(TODAY()-90)))/7*7)*7,0)</f>
        <v/>
      </c>
      <c r="E10" s="25">
        <f>IFERROR(D10/7,0)</f>
        <v/>
      </c>
      <c r="F10" s="26">
        <f>IFERROR(IF(E10=0,IF(C10&gt;0,999,0),ROUND(C10/E10,0)),0)</f>
        <v/>
      </c>
      <c r="G10" s="22" t="n">
        <v>16</v>
      </c>
      <c r="H10" s="26">
        <f>IF(F10&lt;=0,"STOCKOUT",IF(F10&lt;=7,"CRITICAL",IF(F10&lt;=14,"LOW",IF(F10&lt;=30,"ADEQUATE","GOOD"))))</f>
        <v/>
      </c>
      <c r="I10" s="27">
        <f>IFERROR(TEXT(MINIFS('Batch Register'!$F:$F,'Batch Register'!$A:$A,"Mary Wanjiku Pharmacy",'Batch Register'!$B:$B,A10,'Batch Register'!$G:$G,"Active",'Batch Register'!$F:$F,"&gt;"&amp;TODAY()),"YYYY-MM-DD"),"No active batch")</f>
        <v/>
      </c>
      <c r="J10" s="27">
        <f>IF(OR(I10="",I10="No active batch"),"",INT(DATEVALUE(I10)-TODAY()))</f>
        <v/>
      </c>
      <c r="K10" s="26">
        <f>IF(OR(I10="",I10="No active batch"),"OK",IF(J10&lt;=0,"EXPIRED",IF(J10&lt;=30,"EXPIRES SOON",IF(J10&lt;=60,"EXPIRING 60D","OK"))))</f>
        <v/>
      </c>
      <c r="L10" s="26">
        <f>IF(OR(H10="STOCKOUT",H10="CRITICAL",K10="EXPIRED",K10="EXPIRES SOON"),"ACTION NEEDED",IF(OR(H10="LOW",K10="EXPIRING 60D"),"MONITOR","OK"))</f>
        <v/>
      </c>
      <c r="M10" s="28" t="n">
        <v>50</v>
      </c>
    </row>
    <row r="11" ht="20" customHeight="1">
      <c r="A11" s="21" t="inlineStr">
        <is>
          <t>Amoxicillin 500mg caps</t>
        </is>
      </c>
      <c r="B11" s="22" t="inlineStr">
        <is>
          <t>caps</t>
        </is>
      </c>
      <c r="C11" s="23">
        <f>IFERROR(M11+SUMPRODUCT(('Form Responses 1'!$B$2:$B$500="Mary Wanjiku Pharmacy")*('Form Responses 1'!$E$2:$E$500=A11)*('Form Responses 1'!$F$2:$F$500="Received")*'Form Responses 1'!$G$2:$G$500)-SUMPRODUCT(('Form Responses 1'!$B$2:$B$500="Mary Wanjiku Pharmacy")*('Form Responses 1'!$E$2:$E$500=A11)*('Form Responses 1'!$F$2:$F$500="Dispensed")*'Form Responses 1'!$G$2:$G$500)-SUMPRODUCT(('Form Responses 1'!$B$2:$B$500="Mary Wanjiku Pharmacy")*('Form Responses 1'!$E$2:$E$500=A11)*('Form Responses 1'!$F$2:$F$500="Expired")*'Form Responses 1'!$G$2:$G$500)+SUMPRODUCT(('Form Responses 1'!$B$2:$B$500="Mary Wanjiku Pharmacy")*('Form Responses 1'!$E$2:$E$500=A11)*('Form Responses 1'!$F$2:$F$500="Returned")*'Form Responses 1'!$G$2:$G$500),0)</f>
        <v/>
      </c>
      <c r="D11" s="24">
        <f>IFERROR(SUMPRODUCT(('Form Responses 1'!$B$2:$B$500="Mary Wanjiku Pharmacy")*('Form Responses 1'!$E$2:$E$500=A11)*('Form Responses 1'!$F$2:$F$500="Dispensed")*(DATEVALUE(TEXT('Form Responses 1'!$C$2:$C$500,"YYYY-MM-DD"))&gt;=(TODAY()-90))*'Form Responses 1'!$G$2:$G$500)/MAX(1,SUMPRODUCT(('Form Responses 1'!$B$2:$B$500="Mary Wanjiku Pharmacy")*('Form Responses 1'!$E$2:$E$500=A11)*('Form Responses 1'!$F$2:$F$500="Dispensed")*(DATEVALUE(TEXT('Form Responses 1'!$C$2:$C$500,"YYYY-MM-DD"))&gt;=(TODAY()-90)))/7*7)*7,0)</f>
        <v/>
      </c>
      <c r="E11" s="25">
        <f>IFERROR(D11/7,0)</f>
        <v/>
      </c>
      <c r="F11" s="26">
        <f>IFERROR(IF(E11=0,IF(C11&gt;0,999,0),ROUND(C11/E11,0)),0)</f>
        <v/>
      </c>
      <c r="G11" s="22" t="n">
        <v>20</v>
      </c>
      <c r="H11" s="26">
        <f>IF(F11&lt;=0,"STOCKOUT",IF(F11&lt;=7,"CRITICAL",IF(F11&lt;=14,"LOW",IF(F11&lt;=30,"ADEQUATE","GOOD"))))</f>
        <v/>
      </c>
      <c r="I11" s="27">
        <f>IFERROR(TEXT(MINIFS('Batch Register'!$F:$F,'Batch Register'!$A:$A,"Mary Wanjiku Pharmacy",'Batch Register'!$B:$B,A11,'Batch Register'!$G:$G,"Active",'Batch Register'!$F:$F,"&gt;"&amp;TODAY()),"YYYY-MM-DD"),"No active batch")</f>
        <v/>
      </c>
      <c r="J11" s="27">
        <f>IF(OR(I11="",I11="No active batch"),"",INT(DATEVALUE(I11)-TODAY()))</f>
        <v/>
      </c>
      <c r="K11" s="26">
        <f>IF(OR(I11="",I11="No active batch"),"OK",IF(J11&lt;=0,"EXPIRED",IF(J11&lt;=30,"EXPIRES SOON",IF(J11&lt;=60,"EXPIRING 60D","OK"))))</f>
        <v/>
      </c>
      <c r="L11" s="26">
        <f>IF(OR(H11="STOCKOUT",H11="CRITICAL",K11="EXPIRED",K11="EXPIRES SOON"),"ACTION NEEDED",IF(OR(H11="LOW",K11="EXPIRING 60D"),"MONITOR","OK"))</f>
        <v/>
      </c>
      <c r="M11" s="28" t="n">
        <v>200</v>
      </c>
    </row>
    <row r="12" ht="20" customHeight="1">
      <c r="A12" s="21" t="inlineStr">
        <is>
          <t>Ciprofloxacin 500mg tabs</t>
        </is>
      </c>
      <c r="B12" s="22" t="inlineStr">
        <is>
          <t>tabs</t>
        </is>
      </c>
      <c r="C12" s="23">
        <f>IFERROR(M12+SUMPRODUCT(('Form Responses 1'!$B$2:$B$500="Mary Wanjiku Pharmacy")*('Form Responses 1'!$E$2:$E$500=A12)*('Form Responses 1'!$F$2:$F$500="Received")*'Form Responses 1'!$G$2:$G$500)-SUMPRODUCT(('Form Responses 1'!$B$2:$B$500="Mary Wanjiku Pharmacy")*('Form Responses 1'!$E$2:$E$500=A12)*('Form Responses 1'!$F$2:$F$500="Dispensed")*'Form Responses 1'!$G$2:$G$500)-SUMPRODUCT(('Form Responses 1'!$B$2:$B$500="Mary Wanjiku Pharmacy")*('Form Responses 1'!$E$2:$E$500=A12)*('Form Responses 1'!$F$2:$F$500="Expired")*'Form Responses 1'!$G$2:$G$500)+SUMPRODUCT(('Form Responses 1'!$B$2:$B$500="Mary Wanjiku Pharmacy")*('Form Responses 1'!$E$2:$E$500=A12)*('Form Responses 1'!$F$2:$F$500="Returned")*'Form Responses 1'!$G$2:$G$500),0)</f>
        <v/>
      </c>
      <c r="D12" s="24">
        <f>IFERROR(SUMPRODUCT(('Form Responses 1'!$B$2:$B$500="Mary Wanjiku Pharmacy")*('Form Responses 1'!$E$2:$E$500=A12)*('Form Responses 1'!$F$2:$F$500="Dispensed")*(DATEVALUE(TEXT('Form Responses 1'!$C$2:$C$500,"YYYY-MM-DD"))&gt;=(TODAY()-90))*'Form Responses 1'!$G$2:$G$500)/MAX(1,SUMPRODUCT(('Form Responses 1'!$B$2:$B$500="Mary Wanjiku Pharmacy")*('Form Responses 1'!$E$2:$E$500=A12)*('Form Responses 1'!$F$2:$F$500="Dispensed")*(DATEVALUE(TEXT('Form Responses 1'!$C$2:$C$500,"YYYY-MM-DD"))&gt;=(TODAY()-90)))/7*7)*7,0)</f>
        <v/>
      </c>
      <c r="E12" s="25">
        <f>IFERROR(D12/7,0)</f>
        <v/>
      </c>
      <c r="F12" s="26">
        <f>IFERROR(IF(E12=0,IF(C12&gt;0,999,0),ROUND(C12/E12,0)),0)</f>
        <v/>
      </c>
      <c r="G12" s="22" t="n">
        <v>18</v>
      </c>
      <c r="H12" s="26">
        <f>IF(F12&lt;=0,"STOCKOUT",IF(F12&lt;=7,"CRITICAL",IF(F12&lt;=14,"LOW",IF(F12&lt;=30,"ADEQUATE","GOOD"))))</f>
        <v/>
      </c>
      <c r="I12" s="27">
        <f>IFERROR(TEXT(MINIFS('Batch Register'!$F:$F,'Batch Register'!$A:$A,"Mary Wanjiku Pharmacy",'Batch Register'!$B:$B,A12,'Batch Register'!$G:$G,"Active",'Batch Register'!$F:$F,"&gt;"&amp;TODAY()),"YYYY-MM-DD"),"No active batch")</f>
        <v/>
      </c>
      <c r="J12" s="27">
        <f>IF(OR(I12="",I12="No active batch"),"",INT(DATEVALUE(I12)-TODAY()))</f>
        <v/>
      </c>
      <c r="K12" s="26">
        <f>IF(OR(I12="",I12="No active batch"),"OK",IF(J12&lt;=0,"EXPIRED",IF(J12&lt;=30,"EXPIRES SOON",IF(J12&lt;=60,"EXPIRING 60D","OK"))))</f>
        <v/>
      </c>
      <c r="L12" s="26">
        <f>IF(OR(H12="STOCKOUT",H12="CRITICAL",K12="EXPIRED",K12="EXPIRES SOON"),"ACTION NEEDED",IF(OR(H12="LOW",K12="EXPIRING 60D"),"MONITOR","OK"))</f>
        <v/>
      </c>
      <c r="M12" s="28" t="n">
        <v>120</v>
      </c>
    </row>
    <row r="13" ht="20" customHeight="1">
      <c r="A13" s="21" t="inlineStr">
        <is>
          <t>Metronidazole 200mg tabs</t>
        </is>
      </c>
      <c r="B13" s="22" t="inlineStr">
        <is>
          <t>tabs</t>
        </is>
      </c>
      <c r="C13" s="23">
        <f>IFERROR(M13+SUMPRODUCT(('Form Responses 1'!$B$2:$B$500="Mary Wanjiku Pharmacy")*('Form Responses 1'!$E$2:$E$500=A13)*('Form Responses 1'!$F$2:$F$500="Received")*'Form Responses 1'!$G$2:$G$500)-SUMPRODUCT(('Form Responses 1'!$B$2:$B$500="Mary Wanjiku Pharmacy")*('Form Responses 1'!$E$2:$E$500=A13)*('Form Responses 1'!$F$2:$F$500="Dispensed")*'Form Responses 1'!$G$2:$G$500)-SUMPRODUCT(('Form Responses 1'!$B$2:$B$500="Mary Wanjiku Pharmacy")*('Form Responses 1'!$E$2:$E$500=A13)*('Form Responses 1'!$F$2:$F$500="Expired")*'Form Responses 1'!$G$2:$G$500)+SUMPRODUCT(('Form Responses 1'!$B$2:$B$500="Mary Wanjiku Pharmacy")*('Form Responses 1'!$E$2:$E$500=A13)*('Form Responses 1'!$F$2:$F$500="Returned")*'Form Responses 1'!$G$2:$G$500),0)</f>
        <v/>
      </c>
      <c r="D13" s="24">
        <f>IFERROR(SUMPRODUCT(('Form Responses 1'!$B$2:$B$500="Mary Wanjiku Pharmacy")*('Form Responses 1'!$E$2:$E$500=A13)*('Form Responses 1'!$F$2:$F$500="Dispensed")*(DATEVALUE(TEXT('Form Responses 1'!$C$2:$C$500,"YYYY-MM-DD"))&gt;=(TODAY()-90))*'Form Responses 1'!$G$2:$G$500)/MAX(1,SUMPRODUCT(('Form Responses 1'!$B$2:$B$500="Mary Wanjiku Pharmacy")*('Form Responses 1'!$E$2:$E$500=A13)*('Form Responses 1'!$F$2:$F$500="Dispensed")*(DATEVALUE(TEXT('Form Responses 1'!$C$2:$C$500,"YYYY-MM-DD"))&gt;=(TODAY()-90)))/7*7)*7,0)</f>
        <v/>
      </c>
      <c r="E13" s="25">
        <f>IFERROR(D13/7,0)</f>
        <v/>
      </c>
      <c r="F13" s="26">
        <f>IFERROR(IF(E13=0,IF(C13&gt;0,999,0),ROUND(C13/E13,0)),0)</f>
        <v/>
      </c>
      <c r="G13" s="22" t="n">
        <v>18</v>
      </c>
      <c r="H13" s="26">
        <f>IF(F13&lt;=0,"STOCKOUT",IF(F13&lt;=7,"CRITICAL",IF(F13&lt;=14,"LOW",IF(F13&lt;=30,"ADEQUATE","GOOD"))))</f>
        <v/>
      </c>
      <c r="I13" s="27">
        <f>IFERROR(TEXT(MINIFS('Batch Register'!$F:$F,'Batch Register'!$A:$A,"Mary Wanjiku Pharmacy",'Batch Register'!$B:$B,A13,'Batch Register'!$G:$G,"Active",'Batch Register'!$F:$F,"&gt;"&amp;TODAY()),"YYYY-MM-DD"),"No active batch")</f>
        <v/>
      </c>
      <c r="J13" s="27">
        <f>IF(OR(I13="",I13="No active batch"),"",INT(DATEVALUE(I13)-TODAY()))</f>
        <v/>
      </c>
      <c r="K13" s="26">
        <f>IF(OR(I13="",I13="No active batch"),"OK",IF(J13&lt;=0,"EXPIRED",IF(J13&lt;=30,"EXPIRES SOON",IF(J13&lt;=60,"EXPIRING 60D","OK"))))</f>
        <v/>
      </c>
      <c r="L13" s="26">
        <f>IF(OR(H13="STOCKOUT",H13="CRITICAL",K13="EXPIRED",K13="EXPIRES SOON"),"ACTION NEEDED",IF(OR(H13="LOW",K13="EXPIRING 60D"),"MONITOR","OK"))</f>
        <v/>
      </c>
      <c r="M13" s="28" t="n">
        <v>180</v>
      </c>
    </row>
    <row r="14" ht="20" customHeight="1">
      <c r="A14" s="21" t="inlineStr">
        <is>
          <t>Omeprazole 20mg caps</t>
        </is>
      </c>
      <c r="B14" s="22" t="inlineStr">
        <is>
          <t>caps</t>
        </is>
      </c>
      <c r="C14" s="23">
        <f>IFERROR(M14+SUMPRODUCT(('Form Responses 1'!$B$2:$B$500="Mary Wanjiku Pharmacy")*('Form Responses 1'!$E$2:$E$500=A14)*('Form Responses 1'!$F$2:$F$500="Received")*'Form Responses 1'!$G$2:$G$500)-SUMPRODUCT(('Form Responses 1'!$B$2:$B$500="Mary Wanjiku Pharmacy")*('Form Responses 1'!$E$2:$E$500=A14)*('Form Responses 1'!$F$2:$F$500="Dispensed")*'Form Responses 1'!$G$2:$G$500)-SUMPRODUCT(('Form Responses 1'!$B$2:$B$500="Mary Wanjiku Pharmacy")*('Form Responses 1'!$E$2:$E$500=A14)*('Form Responses 1'!$F$2:$F$500="Expired")*'Form Responses 1'!$G$2:$G$500)+SUMPRODUCT(('Form Responses 1'!$B$2:$B$500="Mary Wanjiku Pharmacy")*('Form Responses 1'!$E$2:$E$500=A14)*('Form Responses 1'!$F$2:$F$500="Returned")*'Form Responses 1'!$G$2:$G$500),0)</f>
        <v/>
      </c>
      <c r="D14" s="24">
        <f>IFERROR(SUMPRODUCT(('Form Responses 1'!$B$2:$B$500="Mary Wanjiku Pharmacy")*('Form Responses 1'!$E$2:$E$500=A14)*('Form Responses 1'!$F$2:$F$500="Dispensed")*(DATEVALUE(TEXT('Form Responses 1'!$C$2:$C$500,"YYYY-MM-DD"))&gt;=(TODAY()-90))*'Form Responses 1'!$G$2:$G$500)/MAX(1,SUMPRODUCT(('Form Responses 1'!$B$2:$B$500="Mary Wanjiku Pharmacy")*('Form Responses 1'!$E$2:$E$500=A14)*('Form Responses 1'!$F$2:$F$500="Dispensed")*(DATEVALUE(TEXT('Form Responses 1'!$C$2:$C$500,"YYYY-MM-DD"))&gt;=(TODAY()-90)))/7*7)*7,0)</f>
        <v/>
      </c>
      <c r="E14" s="25">
        <f>IFERROR(D14/7,0)</f>
        <v/>
      </c>
      <c r="F14" s="26">
        <f>IFERROR(IF(E14=0,IF(C14&gt;0,999,0),ROUND(C14/E14,0)),0)</f>
        <v/>
      </c>
      <c r="G14" s="22" t="n">
        <v>18</v>
      </c>
      <c r="H14" s="26">
        <f>IF(F14&lt;=0,"STOCKOUT",IF(F14&lt;=7,"CRITICAL",IF(F14&lt;=14,"LOW",IF(F14&lt;=30,"ADEQUATE","GOOD"))))</f>
        <v/>
      </c>
      <c r="I14" s="27">
        <f>IFERROR(TEXT(MINIFS('Batch Register'!$F:$F,'Batch Register'!$A:$A,"Mary Wanjiku Pharmacy",'Batch Register'!$B:$B,A14,'Batch Register'!$G:$G,"Active",'Batch Register'!$F:$F,"&gt;"&amp;TODAY()),"YYYY-MM-DD"),"No active batch")</f>
        <v/>
      </c>
      <c r="J14" s="27">
        <f>IF(OR(I14="",I14="No active batch"),"",INT(DATEVALUE(I14)-TODAY()))</f>
        <v/>
      </c>
      <c r="K14" s="26">
        <f>IF(OR(I14="",I14="No active batch"),"OK",IF(J14&lt;=0,"EXPIRED",IF(J14&lt;=30,"EXPIRES SOON",IF(J14&lt;=60,"EXPIRING 60D","OK"))))</f>
        <v/>
      </c>
      <c r="L14" s="26">
        <f>IF(OR(H14="STOCKOUT",H14="CRITICAL",K14="EXPIRED",K14="EXPIRES SOON"),"ACTION NEEDED",IF(OR(H14="LOW",K14="EXPIRING 60D"),"MONITOR","OK"))</f>
        <v/>
      </c>
      <c r="M14" s="28" t="n">
        <v>200</v>
      </c>
    </row>
    <row r="15" ht="20" customHeight="1">
      <c r="A15" s="21" t="inlineStr">
        <is>
          <t>Atenolol 50mg tabs</t>
        </is>
      </c>
      <c r="B15" s="22" t="inlineStr">
        <is>
          <t>tabs</t>
        </is>
      </c>
      <c r="C15" s="23">
        <f>IFERROR(M15+SUMPRODUCT(('Form Responses 1'!$B$2:$B$500="Mary Wanjiku Pharmacy")*('Form Responses 1'!$E$2:$E$500=A15)*('Form Responses 1'!$F$2:$F$500="Received")*'Form Responses 1'!$G$2:$G$500)-SUMPRODUCT(('Form Responses 1'!$B$2:$B$500="Mary Wanjiku Pharmacy")*('Form Responses 1'!$E$2:$E$500=A15)*('Form Responses 1'!$F$2:$F$500="Dispensed")*'Form Responses 1'!$G$2:$G$500)-SUMPRODUCT(('Form Responses 1'!$B$2:$B$500="Mary Wanjiku Pharmacy")*('Form Responses 1'!$E$2:$E$500=A15)*('Form Responses 1'!$F$2:$F$500="Expired")*'Form Responses 1'!$G$2:$G$500)+SUMPRODUCT(('Form Responses 1'!$B$2:$B$500="Mary Wanjiku Pharmacy")*('Form Responses 1'!$E$2:$E$500=A15)*('Form Responses 1'!$F$2:$F$500="Returned")*'Form Responses 1'!$G$2:$G$500),0)</f>
        <v/>
      </c>
      <c r="D15" s="24">
        <f>IFERROR(SUMPRODUCT(('Form Responses 1'!$B$2:$B$500="Mary Wanjiku Pharmacy")*('Form Responses 1'!$E$2:$E$500=A15)*('Form Responses 1'!$F$2:$F$500="Dispensed")*(DATEVALUE(TEXT('Form Responses 1'!$C$2:$C$500,"YYYY-MM-DD"))&gt;=(TODAY()-90))*'Form Responses 1'!$G$2:$G$500)/MAX(1,SUMPRODUCT(('Form Responses 1'!$B$2:$B$500="Mary Wanjiku Pharmacy")*('Form Responses 1'!$E$2:$E$500=A15)*('Form Responses 1'!$F$2:$F$500="Dispensed")*(DATEVALUE(TEXT('Form Responses 1'!$C$2:$C$500,"YYYY-MM-DD"))&gt;=(TODAY()-90)))/7*7)*7,0)</f>
        <v/>
      </c>
      <c r="E15" s="25">
        <f>IFERROR(D15/7,0)</f>
        <v/>
      </c>
      <c r="F15" s="26">
        <f>IFERROR(IF(E15=0,IF(C15&gt;0,999,0),ROUND(C15/E15,0)),0)</f>
        <v/>
      </c>
      <c r="G15" s="22" t="n">
        <v>24</v>
      </c>
      <c r="H15" s="26">
        <f>IF(F15&lt;=0,"STOCKOUT",IF(F15&lt;=7,"CRITICAL",IF(F15&lt;=14,"LOW",IF(F15&lt;=30,"ADEQUATE","GOOD"))))</f>
        <v/>
      </c>
      <c r="I15" s="27">
        <f>IFERROR(TEXT(MINIFS('Batch Register'!$F:$F,'Batch Register'!$A:$A,"Mary Wanjiku Pharmacy",'Batch Register'!$B:$B,A15,'Batch Register'!$G:$G,"Active",'Batch Register'!$F:$F,"&gt;"&amp;TODAY()),"YYYY-MM-DD"),"No active batch")</f>
        <v/>
      </c>
      <c r="J15" s="27">
        <f>IF(OR(I15="",I15="No active batch"),"",INT(DATEVALUE(I15)-TODAY()))</f>
        <v/>
      </c>
      <c r="K15" s="26">
        <f>IF(OR(I15="",I15="No active batch"),"OK",IF(J15&lt;=0,"EXPIRED",IF(J15&lt;=30,"EXPIRES SOON",IF(J15&lt;=60,"EXPIRING 60D","OK"))))</f>
        <v/>
      </c>
      <c r="L15" s="26">
        <f>IF(OR(H15="STOCKOUT",H15="CRITICAL",K15="EXPIRED",K15="EXPIRES SOON"),"ACTION NEEDED",IF(OR(H15="LOW",K15="EXPIRING 60D"),"MONITOR","OK"))</f>
        <v/>
      </c>
      <c r="M15" s="28" t="n">
        <v>300</v>
      </c>
    </row>
    <row r="16" ht="20" customHeight="1">
      <c r="A16" s="21" t="inlineStr">
        <is>
          <t>Salbutamol 100mcg inhaler</t>
        </is>
      </c>
      <c r="B16" s="22" t="inlineStr">
        <is>
          <t>inhalers</t>
        </is>
      </c>
      <c r="C16" s="23">
        <f>IFERROR(M16+SUMPRODUCT(('Form Responses 1'!$B$2:$B$500="Mary Wanjiku Pharmacy")*('Form Responses 1'!$E$2:$E$500=A16)*('Form Responses 1'!$F$2:$F$500="Received")*'Form Responses 1'!$G$2:$G$500)-SUMPRODUCT(('Form Responses 1'!$B$2:$B$500="Mary Wanjiku Pharmacy")*('Form Responses 1'!$E$2:$E$500=A16)*('Form Responses 1'!$F$2:$F$500="Dispensed")*'Form Responses 1'!$G$2:$G$500)-SUMPRODUCT(('Form Responses 1'!$B$2:$B$500="Mary Wanjiku Pharmacy")*('Form Responses 1'!$E$2:$E$500=A16)*('Form Responses 1'!$F$2:$F$500="Expired")*'Form Responses 1'!$G$2:$G$500)+SUMPRODUCT(('Form Responses 1'!$B$2:$B$500="Mary Wanjiku Pharmacy")*('Form Responses 1'!$E$2:$E$500=A16)*('Form Responses 1'!$F$2:$F$500="Returned")*'Form Responses 1'!$G$2:$G$500),0)</f>
        <v/>
      </c>
      <c r="D16" s="24">
        <f>IFERROR(SUMPRODUCT(('Form Responses 1'!$B$2:$B$500="Mary Wanjiku Pharmacy")*('Form Responses 1'!$E$2:$E$500=A16)*('Form Responses 1'!$F$2:$F$500="Dispensed")*(DATEVALUE(TEXT('Form Responses 1'!$C$2:$C$500,"YYYY-MM-DD"))&gt;=(TODAY()-90))*'Form Responses 1'!$G$2:$G$500)/MAX(1,SUMPRODUCT(('Form Responses 1'!$B$2:$B$500="Mary Wanjiku Pharmacy")*('Form Responses 1'!$E$2:$E$500=A16)*('Form Responses 1'!$F$2:$F$500="Dispensed")*(DATEVALUE(TEXT('Form Responses 1'!$C$2:$C$500,"YYYY-MM-DD"))&gt;=(TODAY()-90)))/7*7)*7,0)</f>
        <v/>
      </c>
      <c r="E16" s="25">
        <f>IFERROR(D16/7,0)</f>
        <v/>
      </c>
      <c r="F16" s="26">
        <f>IFERROR(IF(E16=0,IF(C16&gt;0,999,0),ROUND(C16/E16,0)),0)</f>
        <v/>
      </c>
      <c r="G16" s="22" t="n">
        <v>28</v>
      </c>
      <c r="H16" s="26">
        <f>IF(F16&lt;=0,"STOCKOUT",IF(F16&lt;=7,"CRITICAL",IF(F16&lt;=14,"LOW",IF(F16&lt;=30,"ADEQUATE","GOOD"))))</f>
        <v/>
      </c>
      <c r="I16" s="27">
        <f>IFERROR(TEXT(MINIFS('Batch Register'!$F:$F,'Batch Register'!$A:$A,"Mary Wanjiku Pharmacy",'Batch Register'!$B:$B,A16,'Batch Register'!$G:$G,"Active",'Batch Register'!$F:$F,"&gt;"&amp;TODAY()),"YYYY-MM-DD"),"No active batch")</f>
        <v/>
      </c>
      <c r="J16" s="27">
        <f>IF(OR(I16="",I16="No active batch"),"",INT(DATEVALUE(I16)-TODAY()))</f>
        <v/>
      </c>
      <c r="K16" s="26">
        <f>IF(OR(I16="",I16="No active batch"),"OK",IF(J16&lt;=0,"EXPIRED",IF(J16&lt;=30,"EXPIRES SOON",IF(J16&lt;=60,"EXPIRING 60D","OK"))))</f>
        <v/>
      </c>
      <c r="L16" s="26">
        <f>IF(OR(H16="STOCKOUT",H16="CRITICAL",K16="EXPIRED",K16="EXPIRES SOON"),"ACTION NEEDED",IF(OR(H16="LOW",K16="EXPIRING 60D"),"MONITOR","OK"))</f>
        <v/>
      </c>
      <c r="M16" s="28" t="n">
        <v>20</v>
      </c>
    </row>
    <row r="17" ht="20" customHeight="1">
      <c r="A17" s="21" t="inlineStr">
        <is>
          <t>Folic Acid 5mg tabs</t>
        </is>
      </c>
      <c r="B17" s="22" t="inlineStr">
        <is>
          <t>tabs</t>
        </is>
      </c>
      <c r="C17" s="23">
        <f>IFERROR(M17+SUMPRODUCT(('Form Responses 1'!$B$2:$B$500="Mary Wanjiku Pharmacy")*('Form Responses 1'!$E$2:$E$500=A17)*('Form Responses 1'!$F$2:$F$500="Received")*'Form Responses 1'!$G$2:$G$500)-SUMPRODUCT(('Form Responses 1'!$B$2:$B$500="Mary Wanjiku Pharmacy")*('Form Responses 1'!$E$2:$E$500=A17)*('Form Responses 1'!$F$2:$F$500="Dispensed")*'Form Responses 1'!$G$2:$G$500)-SUMPRODUCT(('Form Responses 1'!$B$2:$B$500="Mary Wanjiku Pharmacy")*('Form Responses 1'!$E$2:$E$500=A17)*('Form Responses 1'!$F$2:$F$500="Expired")*'Form Responses 1'!$G$2:$G$500)+SUMPRODUCT(('Form Responses 1'!$B$2:$B$500="Mary Wanjiku Pharmacy")*('Form Responses 1'!$E$2:$E$500=A17)*('Form Responses 1'!$F$2:$F$500="Returned")*'Form Responses 1'!$G$2:$G$500),0)</f>
        <v/>
      </c>
      <c r="D17" s="24">
        <f>IFERROR(SUMPRODUCT(('Form Responses 1'!$B$2:$B$500="Mary Wanjiku Pharmacy")*('Form Responses 1'!$E$2:$E$500=A17)*('Form Responses 1'!$F$2:$F$500="Dispensed")*(DATEVALUE(TEXT('Form Responses 1'!$C$2:$C$500,"YYYY-MM-DD"))&gt;=(TODAY()-90))*'Form Responses 1'!$G$2:$G$500)/MAX(1,SUMPRODUCT(('Form Responses 1'!$B$2:$B$500="Mary Wanjiku Pharmacy")*('Form Responses 1'!$E$2:$E$500=A17)*('Form Responses 1'!$F$2:$F$500="Dispensed")*(DATEVALUE(TEXT('Form Responses 1'!$C$2:$C$500,"YYYY-MM-DD"))&gt;=(TODAY()-90)))/7*7)*7,0)</f>
        <v/>
      </c>
      <c r="E17" s="25">
        <f>IFERROR(D17/7,0)</f>
        <v/>
      </c>
      <c r="F17" s="26">
        <f>IFERROR(IF(E17=0,IF(C17&gt;0,999,0),ROUND(C17/E17,0)),0)</f>
        <v/>
      </c>
      <c r="G17" s="22" t="n">
        <v>25</v>
      </c>
      <c r="H17" s="26">
        <f>IF(F17&lt;=0,"STOCKOUT",IF(F17&lt;=7,"CRITICAL",IF(F17&lt;=14,"LOW",IF(F17&lt;=30,"ADEQUATE","GOOD"))))</f>
        <v/>
      </c>
      <c r="I17" s="27">
        <f>IFERROR(TEXT(MINIFS('Batch Register'!$F:$F,'Batch Register'!$A:$A,"Mary Wanjiku Pharmacy",'Batch Register'!$B:$B,A17,'Batch Register'!$G:$G,"Active",'Batch Register'!$F:$F,"&gt;"&amp;TODAY()),"YYYY-MM-DD"),"No active batch")</f>
        <v/>
      </c>
      <c r="J17" s="27">
        <f>IF(OR(I17="",I17="No active batch"),"",INT(DATEVALUE(I17)-TODAY()))</f>
        <v/>
      </c>
      <c r="K17" s="26">
        <f>IF(OR(I17="",I17="No active batch"),"OK",IF(J17&lt;=0,"EXPIRED",IF(J17&lt;=30,"EXPIRES SOON",IF(J17&lt;=60,"EXPIRING 60D","OK"))))</f>
        <v/>
      </c>
      <c r="L17" s="26">
        <f>IF(OR(H17="STOCKOUT",H17="CRITICAL",K17="EXPIRED",K17="EXPIRES SOON"),"ACTION NEEDED",IF(OR(H17="LOW",K17="EXPIRING 60D"),"MONITOR","OK"))</f>
        <v/>
      </c>
      <c r="M17" s="28" t="n">
        <v>250</v>
      </c>
    </row>
    <row r="18" ht="20" customHeight="1">
      <c r="A18" s="21" t="inlineStr">
        <is>
          <t>Ferrous Sulphate 200mg tabs</t>
        </is>
      </c>
      <c r="B18" s="22" t="inlineStr">
        <is>
          <t>tabs</t>
        </is>
      </c>
      <c r="C18" s="23">
        <f>IFERROR(M18+SUMPRODUCT(('Form Responses 1'!$B$2:$B$500="Mary Wanjiku Pharmacy")*('Form Responses 1'!$E$2:$E$500=A18)*('Form Responses 1'!$F$2:$F$500="Received")*'Form Responses 1'!$G$2:$G$500)-SUMPRODUCT(('Form Responses 1'!$B$2:$B$500="Mary Wanjiku Pharmacy")*('Form Responses 1'!$E$2:$E$500=A18)*('Form Responses 1'!$F$2:$F$500="Dispensed")*'Form Responses 1'!$G$2:$G$500)-SUMPRODUCT(('Form Responses 1'!$B$2:$B$500="Mary Wanjiku Pharmacy")*('Form Responses 1'!$E$2:$E$500=A18)*('Form Responses 1'!$F$2:$F$500="Expired")*'Form Responses 1'!$G$2:$G$500)+SUMPRODUCT(('Form Responses 1'!$B$2:$B$500="Mary Wanjiku Pharmacy")*('Form Responses 1'!$E$2:$E$500=A18)*('Form Responses 1'!$F$2:$F$500="Returned")*'Form Responses 1'!$G$2:$G$500),0)</f>
        <v/>
      </c>
      <c r="D18" s="24">
        <f>IFERROR(SUMPRODUCT(('Form Responses 1'!$B$2:$B$500="Mary Wanjiku Pharmacy")*('Form Responses 1'!$E$2:$E$500=A18)*('Form Responses 1'!$F$2:$F$500="Dispensed")*(DATEVALUE(TEXT('Form Responses 1'!$C$2:$C$500,"YYYY-MM-DD"))&gt;=(TODAY()-90))*'Form Responses 1'!$G$2:$G$500)/MAX(1,SUMPRODUCT(('Form Responses 1'!$B$2:$B$500="Mary Wanjiku Pharmacy")*('Form Responses 1'!$E$2:$E$500=A18)*('Form Responses 1'!$F$2:$F$500="Dispensed")*(DATEVALUE(TEXT('Form Responses 1'!$C$2:$C$500,"YYYY-MM-DD"))&gt;=(TODAY()-90)))/7*7)*7,0)</f>
        <v/>
      </c>
      <c r="E18" s="25">
        <f>IFERROR(D18/7,0)</f>
        <v/>
      </c>
      <c r="F18" s="26">
        <f>IFERROR(IF(E18=0,IF(C18&gt;0,999,0),ROUND(C18/E18,0)),0)</f>
        <v/>
      </c>
      <c r="G18" s="22" t="n">
        <v>22</v>
      </c>
      <c r="H18" s="26">
        <f>IF(F18&lt;=0,"STOCKOUT",IF(F18&lt;=7,"CRITICAL",IF(F18&lt;=14,"LOW",IF(F18&lt;=30,"ADEQUATE","GOOD"))))</f>
        <v/>
      </c>
      <c r="I18" s="27">
        <f>IFERROR(TEXT(MINIFS('Batch Register'!$F:$F,'Batch Register'!$A:$A,"Mary Wanjiku Pharmacy",'Batch Register'!$B:$B,A18,'Batch Register'!$G:$G,"Active",'Batch Register'!$F:$F,"&gt;"&amp;TODAY()),"YYYY-MM-DD"),"No active batch")</f>
        <v/>
      </c>
      <c r="J18" s="27">
        <f>IF(OR(I18="",I18="No active batch"),"",INT(DATEVALUE(I18)-TODAY()))</f>
        <v/>
      </c>
      <c r="K18" s="26">
        <f>IF(OR(I18="",I18="No active batch"),"OK",IF(J18&lt;=0,"EXPIRED",IF(J18&lt;=30,"EXPIRES SOON",IF(J18&lt;=60,"EXPIRING 60D","OK"))))</f>
        <v/>
      </c>
      <c r="L18" s="26">
        <f>IF(OR(H18="STOCKOUT",H18="CRITICAL",K18="EXPIRED",K18="EXPIRES SOON"),"ACTION NEEDED",IF(OR(H18="LOW",K18="EXPIRING 60D"),"MONITOR","OK"))</f>
        <v/>
      </c>
      <c r="M18" s="28" t="n">
        <v>220</v>
      </c>
    </row>
    <row r="19" ht="20" customHeight="1">
      <c r="A19" s="21" t="inlineStr">
        <is>
          <t>Cotrimoxazole 480mg tabs</t>
        </is>
      </c>
      <c r="B19" s="22" t="inlineStr">
        <is>
          <t>tabs</t>
        </is>
      </c>
      <c r="C19" s="23">
        <f>IFERROR(M19+SUMPRODUCT(('Form Responses 1'!$B$2:$B$500="Mary Wanjiku Pharmacy")*('Form Responses 1'!$E$2:$E$500=A19)*('Form Responses 1'!$F$2:$F$500="Received")*'Form Responses 1'!$G$2:$G$500)-SUMPRODUCT(('Form Responses 1'!$B$2:$B$500="Mary Wanjiku Pharmacy")*('Form Responses 1'!$E$2:$E$500=A19)*('Form Responses 1'!$F$2:$F$500="Dispensed")*'Form Responses 1'!$G$2:$G$500)-SUMPRODUCT(('Form Responses 1'!$B$2:$B$500="Mary Wanjiku Pharmacy")*('Form Responses 1'!$E$2:$E$500=A19)*('Form Responses 1'!$F$2:$F$500="Expired")*'Form Responses 1'!$G$2:$G$500)+SUMPRODUCT(('Form Responses 1'!$B$2:$B$500="Mary Wanjiku Pharmacy")*('Form Responses 1'!$E$2:$E$500=A19)*('Form Responses 1'!$F$2:$F$500="Returned")*'Form Responses 1'!$G$2:$G$500),0)</f>
        <v/>
      </c>
      <c r="D19" s="24">
        <f>IFERROR(SUMPRODUCT(('Form Responses 1'!$B$2:$B$500="Mary Wanjiku Pharmacy")*('Form Responses 1'!$E$2:$E$500=A19)*('Form Responses 1'!$F$2:$F$500="Dispensed")*(DATEVALUE(TEXT('Form Responses 1'!$C$2:$C$500,"YYYY-MM-DD"))&gt;=(TODAY()-90))*'Form Responses 1'!$G$2:$G$500)/MAX(1,SUMPRODUCT(('Form Responses 1'!$B$2:$B$500="Mary Wanjiku Pharmacy")*('Form Responses 1'!$E$2:$E$500=A19)*('Form Responses 1'!$F$2:$F$500="Dispensed")*(DATEVALUE(TEXT('Form Responses 1'!$C$2:$C$500,"YYYY-MM-DD"))&gt;=(TODAY()-90)))/7*7)*7,0)</f>
        <v/>
      </c>
      <c r="E19" s="25">
        <f>IFERROR(D19/7,0)</f>
        <v/>
      </c>
      <c r="F19" s="26">
        <f>IFERROR(IF(E19=0,IF(C19&gt;0,999,0),ROUND(C19/E19,0)),0)</f>
        <v/>
      </c>
      <c r="G19" s="22" t="n">
        <v>20</v>
      </c>
      <c r="H19" s="26">
        <f>IF(F19&lt;=0,"STOCKOUT",IF(F19&lt;=7,"CRITICAL",IF(F19&lt;=14,"LOW",IF(F19&lt;=30,"ADEQUATE","GOOD"))))</f>
        <v/>
      </c>
      <c r="I19" s="27">
        <f>IFERROR(TEXT(MINIFS('Batch Register'!$F:$F,'Batch Register'!$A:$A,"Mary Wanjiku Pharmacy",'Batch Register'!$B:$B,A19,'Batch Register'!$G:$G,"Active",'Batch Register'!$F:$F,"&gt;"&amp;TODAY()),"YYYY-MM-DD"),"No active batch")</f>
        <v/>
      </c>
      <c r="J19" s="27">
        <f>IF(OR(I19="",I19="No active batch"),"",INT(DATEVALUE(I19)-TODAY()))</f>
        <v/>
      </c>
      <c r="K19" s="26">
        <f>IF(OR(I19="",I19="No active batch"),"OK",IF(J19&lt;=0,"EXPIRED",IF(J19&lt;=30,"EXPIRES SOON",IF(J19&lt;=60,"EXPIRING 60D","OK"))))</f>
        <v/>
      </c>
      <c r="L19" s="26">
        <f>IF(OR(H19="STOCKOUT",H19="CRITICAL",K19="EXPIRED",K19="EXPIRES SOON"),"ACTION NEEDED",IF(OR(H19="LOW",K19="EXPIRING 60D"),"MONITOR","OK"))</f>
        <v/>
      </c>
      <c r="M19" s="28" t="n">
        <v>180</v>
      </c>
    </row>
    <row r="20" ht="20" customHeight="1">
      <c r="A20" s="21" t="inlineStr">
        <is>
          <t>Prednisolone 5mg tabs</t>
        </is>
      </c>
      <c r="B20" s="22" t="inlineStr">
        <is>
          <t>tabs</t>
        </is>
      </c>
      <c r="C20" s="23">
        <f>IFERROR(M20+SUMPRODUCT(('Form Responses 1'!$B$2:$B$500="Mary Wanjiku Pharmacy")*('Form Responses 1'!$E$2:$E$500=A20)*('Form Responses 1'!$F$2:$F$500="Received")*'Form Responses 1'!$G$2:$G$500)-SUMPRODUCT(('Form Responses 1'!$B$2:$B$500="Mary Wanjiku Pharmacy")*('Form Responses 1'!$E$2:$E$500=A20)*('Form Responses 1'!$F$2:$F$500="Dispensed")*'Form Responses 1'!$G$2:$G$500)-SUMPRODUCT(('Form Responses 1'!$B$2:$B$500="Mary Wanjiku Pharmacy")*('Form Responses 1'!$E$2:$E$500=A20)*('Form Responses 1'!$F$2:$F$500="Expired")*'Form Responses 1'!$G$2:$G$500)+SUMPRODUCT(('Form Responses 1'!$B$2:$B$500="Mary Wanjiku Pharmacy")*('Form Responses 1'!$E$2:$E$500=A20)*('Form Responses 1'!$F$2:$F$500="Returned")*'Form Responses 1'!$G$2:$G$500),0)</f>
        <v/>
      </c>
      <c r="D20" s="24">
        <f>IFERROR(SUMPRODUCT(('Form Responses 1'!$B$2:$B$500="Mary Wanjiku Pharmacy")*('Form Responses 1'!$E$2:$E$500=A20)*('Form Responses 1'!$F$2:$F$500="Dispensed")*(DATEVALUE(TEXT('Form Responses 1'!$C$2:$C$500,"YYYY-MM-DD"))&gt;=(TODAY()-90))*'Form Responses 1'!$G$2:$G$500)/MAX(1,SUMPRODUCT(('Form Responses 1'!$B$2:$B$500="Mary Wanjiku Pharmacy")*('Form Responses 1'!$E$2:$E$500=A20)*('Form Responses 1'!$F$2:$F$500="Dispensed")*(DATEVALUE(TEXT('Form Responses 1'!$C$2:$C$500,"YYYY-MM-DD"))&gt;=(TODAY()-90)))/7*7)*7,0)</f>
        <v/>
      </c>
      <c r="E20" s="25">
        <f>IFERROR(D20/7,0)</f>
        <v/>
      </c>
      <c r="F20" s="26">
        <f>IFERROR(IF(E20=0,IF(C20&gt;0,999,0),ROUND(C20/E20,0)),0)</f>
        <v/>
      </c>
      <c r="G20" s="22" t="n">
        <v>20</v>
      </c>
      <c r="H20" s="26">
        <f>IF(F20&lt;=0,"STOCKOUT",IF(F20&lt;=7,"CRITICAL",IF(F20&lt;=14,"LOW",IF(F20&lt;=30,"ADEQUATE","GOOD"))))</f>
        <v/>
      </c>
      <c r="I20" s="27">
        <f>IFERROR(TEXT(MINIFS('Batch Register'!$F:$F,'Batch Register'!$A:$A,"Mary Wanjiku Pharmacy",'Batch Register'!$B:$B,A20,'Batch Register'!$G:$G,"Active",'Batch Register'!$F:$F,"&gt;"&amp;TODAY()),"YYYY-MM-DD"),"No active batch")</f>
        <v/>
      </c>
      <c r="J20" s="27">
        <f>IF(OR(I20="",I20="No active batch"),"",INT(DATEVALUE(I20)-TODAY()))</f>
        <v/>
      </c>
      <c r="K20" s="26">
        <f>IF(OR(I20="",I20="No active batch"),"OK",IF(J20&lt;=0,"EXPIRED",IF(J20&lt;=30,"EXPIRES SOON",IF(J20&lt;=60,"EXPIRING 60D","OK"))))</f>
        <v/>
      </c>
      <c r="L20" s="26">
        <f>IF(OR(H20="STOCKOUT",H20="CRITICAL",K20="EXPIRED",K20="EXPIRES SOON"),"ACTION NEEDED",IF(OR(H20="LOW",K20="EXPIRING 60D"),"MONITOR","OK"))</f>
        <v/>
      </c>
      <c r="M20" s="28" t="n">
        <v>150</v>
      </c>
    </row>
    <row r="21" ht="20" customHeight="1">
      <c r="A21" s="21" t="inlineStr">
        <is>
          <t>Artemether-Lumefantrine 20/120mg</t>
        </is>
      </c>
      <c r="B21" s="22" t="inlineStr">
        <is>
          <t>tabs</t>
        </is>
      </c>
      <c r="C21" s="23">
        <f>IFERROR(M21+SUMPRODUCT(('Form Responses 1'!$B$2:$B$500="Mary Wanjiku Pharmacy")*('Form Responses 1'!$E$2:$E$500=A21)*('Form Responses 1'!$F$2:$F$500="Received")*'Form Responses 1'!$G$2:$G$500)-SUMPRODUCT(('Form Responses 1'!$B$2:$B$500="Mary Wanjiku Pharmacy")*('Form Responses 1'!$E$2:$E$500=A21)*('Form Responses 1'!$F$2:$F$500="Dispensed")*'Form Responses 1'!$G$2:$G$500)-SUMPRODUCT(('Form Responses 1'!$B$2:$B$500="Mary Wanjiku Pharmacy")*('Form Responses 1'!$E$2:$E$500=A21)*('Form Responses 1'!$F$2:$F$500="Expired")*'Form Responses 1'!$G$2:$G$500)+SUMPRODUCT(('Form Responses 1'!$B$2:$B$500="Mary Wanjiku Pharmacy")*('Form Responses 1'!$E$2:$E$500=A21)*('Form Responses 1'!$F$2:$F$500="Returned")*'Form Responses 1'!$G$2:$G$500),0)</f>
        <v/>
      </c>
      <c r="D21" s="24">
        <f>IFERROR(SUMPRODUCT(('Form Responses 1'!$B$2:$B$500="Mary Wanjiku Pharmacy")*('Form Responses 1'!$E$2:$E$500=A21)*('Form Responses 1'!$F$2:$F$500="Dispensed")*(DATEVALUE(TEXT('Form Responses 1'!$C$2:$C$500,"YYYY-MM-DD"))&gt;=(TODAY()-90))*'Form Responses 1'!$G$2:$G$500)/MAX(1,SUMPRODUCT(('Form Responses 1'!$B$2:$B$500="Mary Wanjiku Pharmacy")*('Form Responses 1'!$E$2:$E$500=A21)*('Form Responses 1'!$F$2:$F$500="Dispensed")*(DATEVALUE(TEXT('Form Responses 1'!$C$2:$C$500,"YYYY-MM-DD"))&gt;=(TODAY()-90)))/7*7)*7,0)</f>
        <v/>
      </c>
      <c r="E21" s="25">
        <f>IFERROR(D21/7,0)</f>
        <v/>
      </c>
      <c r="F21" s="26">
        <f>IFERROR(IF(E21=0,IF(C21&gt;0,999,0),ROUND(C21/E21,0)),0)</f>
        <v/>
      </c>
      <c r="G21" s="22" t="n">
        <v>15</v>
      </c>
      <c r="H21" s="26">
        <f>IF(F21&lt;=0,"STOCKOUT",IF(F21&lt;=7,"CRITICAL",IF(F21&lt;=14,"LOW",IF(F21&lt;=30,"ADEQUATE","GOOD"))))</f>
        <v/>
      </c>
      <c r="I21" s="27">
        <f>IFERROR(TEXT(MINIFS('Batch Register'!$F:$F,'Batch Register'!$A:$A,"Mary Wanjiku Pharmacy",'Batch Register'!$B:$B,A21,'Batch Register'!$G:$G,"Active",'Batch Register'!$F:$F,"&gt;"&amp;TODAY()),"YYYY-MM-DD"),"No active batch")</f>
        <v/>
      </c>
      <c r="J21" s="27">
        <f>IF(OR(I21="",I21="No active batch"),"",INT(DATEVALUE(I21)-TODAY()))</f>
        <v/>
      </c>
      <c r="K21" s="26">
        <f>IF(OR(I21="",I21="No active batch"),"OK",IF(J21&lt;=0,"EXPIRED",IF(J21&lt;=30,"EXPIRES SOON",IF(J21&lt;=60,"EXPIRING 60D","OK"))))</f>
        <v/>
      </c>
      <c r="L21" s="26">
        <f>IF(OR(H21="STOCKOUT",H21="CRITICAL",K21="EXPIRED",K21="EXPIRES SOON"),"ACTION NEEDED",IF(OR(H21="LOW",K21="EXPIRING 60D"),"MONITOR","OK"))</f>
        <v/>
      </c>
      <c r="M21" s="28" t="n">
        <v>120</v>
      </c>
    </row>
    <row r="22" ht="20" customHeight="1">
      <c r="A22" s="21" t="inlineStr">
        <is>
          <t>Losartan 50mg tabs</t>
        </is>
      </c>
      <c r="B22" s="22" t="inlineStr">
        <is>
          <t>tabs</t>
        </is>
      </c>
      <c r="C22" s="23">
        <f>IFERROR(M22+SUMPRODUCT(('Form Responses 1'!$B$2:$B$500="Mary Wanjiku Pharmacy")*('Form Responses 1'!$E$2:$E$500=A22)*('Form Responses 1'!$F$2:$F$500="Received")*'Form Responses 1'!$G$2:$G$500)-SUMPRODUCT(('Form Responses 1'!$B$2:$B$500="Mary Wanjiku Pharmacy")*('Form Responses 1'!$E$2:$E$500=A22)*('Form Responses 1'!$F$2:$F$500="Dispensed")*'Form Responses 1'!$G$2:$G$500)-SUMPRODUCT(('Form Responses 1'!$B$2:$B$500="Mary Wanjiku Pharmacy")*('Form Responses 1'!$E$2:$E$500=A22)*('Form Responses 1'!$F$2:$F$500="Expired")*'Form Responses 1'!$G$2:$G$500)+SUMPRODUCT(('Form Responses 1'!$B$2:$B$500="Mary Wanjiku Pharmacy")*('Form Responses 1'!$E$2:$E$500=A22)*('Form Responses 1'!$F$2:$F$500="Returned")*'Form Responses 1'!$G$2:$G$500),0)</f>
        <v/>
      </c>
      <c r="D22" s="24">
        <f>IFERROR(SUMPRODUCT(('Form Responses 1'!$B$2:$B$500="Mary Wanjiku Pharmacy")*('Form Responses 1'!$E$2:$E$500=A22)*('Form Responses 1'!$F$2:$F$500="Dispensed")*(DATEVALUE(TEXT('Form Responses 1'!$C$2:$C$500,"YYYY-MM-DD"))&gt;=(TODAY()-90))*'Form Responses 1'!$G$2:$G$500)/MAX(1,SUMPRODUCT(('Form Responses 1'!$B$2:$B$500="Mary Wanjiku Pharmacy")*('Form Responses 1'!$E$2:$E$500=A22)*('Form Responses 1'!$F$2:$F$500="Dispensed")*(DATEVALUE(TEXT('Form Responses 1'!$C$2:$C$500,"YYYY-MM-DD"))&gt;=(TODAY()-90)))/7*7)*7,0)</f>
        <v/>
      </c>
      <c r="E22" s="25">
        <f>IFERROR(D22/7,0)</f>
        <v/>
      </c>
      <c r="F22" s="26">
        <f>IFERROR(IF(E22=0,IF(C22&gt;0,999,0),ROUND(C22/E22,0)),0)</f>
        <v/>
      </c>
      <c r="G22" s="22" t="n">
        <v>25</v>
      </c>
      <c r="H22" s="26">
        <f>IF(F22&lt;=0,"STOCKOUT",IF(F22&lt;=7,"CRITICAL",IF(F22&lt;=14,"LOW",IF(F22&lt;=30,"ADEQUATE","GOOD"))))</f>
        <v/>
      </c>
      <c r="I22" s="27">
        <f>IFERROR(TEXT(MINIFS('Batch Register'!$F:$F,'Batch Register'!$A:$A,"Mary Wanjiku Pharmacy",'Batch Register'!$B:$B,A22,'Batch Register'!$G:$G,"Active",'Batch Register'!$F:$F,"&gt;"&amp;TODAY()),"YYYY-MM-DD"),"No active batch")</f>
        <v/>
      </c>
      <c r="J22" s="27">
        <f>IF(OR(I22="",I22="No active batch"),"",INT(DATEVALUE(I22)-TODAY()))</f>
        <v/>
      </c>
      <c r="K22" s="26">
        <f>IF(OR(I22="",I22="No active batch"),"OK",IF(J22&lt;=0,"EXPIRED",IF(J22&lt;=30,"EXPIRES SOON",IF(J22&lt;=60,"EXPIRING 60D","OK"))))</f>
        <v/>
      </c>
      <c r="L22" s="26">
        <f>IF(OR(H22="STOCKOUT",H22="CRITICAL",K22="EXPIRED",K22="EXPIRES SOON"),"ACTION NEEDED",IF(OR(H22="LOW",K22="EXPIRING 60D"),"MONITOR","OK"))</f>
        <v/>
      </c>
      <c r="M22" s="28" t="n">
        <v>240</v>
      </c>
    </row>
    <row r="23" ht="20" customHeight="1">
      <c r="A23" s="21" t="inlineStr">
        <is>
          <t>Doxycycline 100mg caps</t>
        </is>
      </c>
      <c r="B23" s="22" t="inlineStr">
        <is>
          <t>caps</t>
        </is>
      </c>
      <c r="C23" s="23">
        <f>IFERROR(M23+SUMPRODUCT(('Form Responses 1'!$B$2:$B$500="Mary Wanjiku Pharmacy")*('Form Responses 1'!$E$2:$E$500=A23)*('Form Responses 1'!$F$2:$F$500="Received")*'Form Responses 1'!$G$2:$G$500)-SUMPRODUCT(('Form Responses 1'!$B$2:$B$500="Mary Wanjiku Pharmacy")*('Form Responses 1'!$E$2:$E$500=A23)*('Form Responses 1'!$F$2:$F$500="Dispensed")*'Form Responses 1'!$G$2:$G$500)-SUMPRODUCT(('Form Responses 1'!$B$2:$B$500="Mary Wanjiku Pharmacy")*('Form Responses 1'!$E$2:$E$500=A23)*('Form Responses 1'!$F$2:$F$500="Expired")*'Form Responses 1'!$G$2:$G$500)+SUMPRODUCT(('Form Responses 1'!$B$2:$B$500="Mary Wanjiku Pharmacy")*('Form Responses 1'!$E$2:$E$500=A23)*('Form Responses 1'!$F$2:$F$500="Returned")*'Form Responses 1'!$G$2:$G$500),0)</f>
        <v/>
      </c>
      <c r="D23" s="24">
        <f>IFERROR(SUMPRODUCT(('Form Responses 1'!$B$2:$B$500="Mary Wanjiku Pharmacy")*('Form Responses 1'!$E$2:$E$500=A23)*('Form Responses 1'!$F$2:$F$500="Dispensed")*(DATEVALUE(TEXT('Form Responses 1'!$C$2:$C$500,"YYYY-MM-DD"))&gt;=(TODAY()-90))*'Form Responses 1'!$G$2:$G$500)/MAX(1,SUMPRODUCT(('Form Responses 1'!$B$2:$B$500="Mary Wanjiku Pharmacy")*('Form Responses 1'!$E$2:$E$500=A23)*('Form Responses 1'!$F$2:$F$500="Dispensed")*(DATEVALUE(TEXT('Form Responses 1'!$C$2:$C$500,"YYYY-MM-DD"))&gt;=(TODAY()-90)))/7*7)*7,0)</f>
        <v/>
      </c>
      <c r="E23" s="25">
        <f>IFERROR(D23/7,0)</f>
        <v/>
      </c>
      <c r="F23" s="26">
        <f>IFERROR(IF(E23=0,IF(C23&gt;0,999,0),ROUND(C23/E23,0)),0)</f>
        <v/>
      </c>
      <c r="G23" s="22" t="n">
        <v>16</v>
      </c>
      <c r="H23" s="26">
        <f>IF(F23&lt;=0,"STOCKOUT",IF(F23&lt;=7,"CRITICAL",IF(F23&lt;=14,"LOW",IF(F23&lt;=30,"ADEQUATE","GOOD"))))</f>
        <v/>
      </c>
      <c r="I23" s="27">
        <f>IFERROR(TEXT(MINIFS('Batch Register'!$F:$F,'Batch Register'!$A:$A,"Mary Wanjiku Pharmacy",'Batch Register'!$B:$B,A23,'Batch Register'!$G:$G,"Active",'Batch Register'!$F:$F,"&gt;"&amp;TODAY()),"YYYY-MM-DD"),"No active batch")</f>
        <v/>
      </c>
      <c r="J23" s="27">
        <f>IF(OR(I23="",I23="No active batch"),"",INT(DATEVALUE(I23)-TODAY()))</f>
        <v/>
      </c>
      <c r="K23" s="26">
        <f>IF(OR(I23="",I23="No active batch"),"OK",IF(J23&lt;=0,"EXPIRED",IF(J23&lt;=30,"EXPIRES SOON",IF(J23&lt;=60,"EXPIRING 60D","OK"))))</f>
        <v/>
      </c>
      <c r="L23" s="26">
        <f>IF(OR(H23="STOCKOUT",H23="CRITICAL",K23="EXPIRED",K23="EXPIRES SOON"),"ACTION NEEDED",IF(OR(H23="LOW",K23="EXPIRING 60D"),"MONITOR","OK"))</f>
        <v/>
      </c>
      <c r="M23" s="28" t="n">
        <v>100</v>
      </c>
    </row>
  </sheetData>
  <mergeCells count="4">
    <mergeCell ref="L2:M2"/>
    <mergeCell ref="E2:K2"/>
    <mergeCell ref="A2:D2"/>
    <mergeCell ref="A1:M1"/>
  </mergeCells>
  <conditionalFormatting sqref="H4:H23">
    <cfRule type="containsText" priority="1" operator="containsText" dxfId="0" text="STOCKOUT">
      <formula>NOT(ISERROR(SEARCH("STOCKOUT",H4)))</formula>
    </cfRule>
    <cfRule type="containsText" priority="2" operator="containsText" dxfId="0" text="CRITICAL">
      <formula>NOT(ISERROR(SEARCH("CRITICAL",H4)))</formula>
    </cfRule>
    <cfRule type="containsText" priority="3" operator="containsText" dxfId="1" text="LOW">
      <formula>NOT(ISERROR(SEARCH("LOW",H4)))</formula>
    </cfRule>
    <cfRule type="containsText" priority="4" operator="containsText" dxfId="2" text="ADEQUATE">
      <formula>NOT(ISERROR(SEARCH("ADEQUATE",H4)))</formula>
    </cfRule>
    <cfRule type="containsText" priority="5" operator="containsText" dxfId="3" text="GOOD">
      <formula>NOT(ISERROR(SEARCH("GOOD",H4)))</formula>
    </cfRule>
  </conditionalFormatting>
  <conditionalFormatting sqref="K4:K23">
    <cfRule type="containsText" priority="6" operator="containsText" dxfId="0" text="EXPIRED">
      <formula>NOT(ISERROR(SEARCH("EXPIRED",K4)))</formula>
    </cfRule>
    <cfRule type="containsText" priority="7" operator="containsText" dxfId="0" text="EXPIRES SOON">
      <formula>NOT(ISERROR(SEARCH("EXPIRES SOON",K4)))</formula>
    </cfRule>
    <cfRule type="containsText" priority="8" operator="containsText" dxfId="1" text="EXPIRING 60D">
      <formula>NOT(ISERROR(SEARCH("EXPIRING 60D",K4)))</formula>
    </cfRule>
    <cfRule type="containsText" priority="9" operator="containsText" dxfId="3" text="OK">
      <formula>NOT(ISERROR(SEARCH("OK",K4)))</formula>
    </cfRule>
  </conditionalFormatting>
  <conditionalFormatting sqref="L4:L23">
    <cfRule type="containsText" priority="10" operator="containsText" dxfId="0" text="ACTION NEEDED">
      <formula>NOT(ISERROR(SEARCH("ACTION NEEDED",L4)))</formula>
    </cfRule>
    <cfRule type="containsText" priority="11" operator="containsText" dxfId="1" text="MONITOR">
      <formula>NOT(ISERROR(SEARCH("MONITOR",L4)))</formula>
    </cfRule>
    <cfRule type="containsText" priority="12" operator="containsText" dxfId="3" text="OK">
      <formula>NOT(ISERROR(SEARCH("OK",L4)))</formula>
    </cfRule>
  </conditionalFormatting>
  <conditionalFormatting sqref="F4:F23">
    <cfRule type="cellIs" priority="13" operator="lessThanOrEqual" dxfId="4">
      <formula>0</formula>
    </cfRule>
    <cfRule type="cellIs" priority="14" operator="between" dxfId="4">
      <formula>1</formula>
      <formula>7</formula>
    </cfRule>
    <cfRule type="cellIs" priority="15" operator="between" dxfId="5">
      <formula>8</formula>
      <formula>14</formula>
    </cfRule>
    <cfRule type="cellIs" priority="16" operator="between" dxfId="6">
      <formula>15</formula>
      <formula>30</formula>
    </cfRule>
    <cfRule type="cellIs" priority="17" operator="greaterThan" dxfId="7">
      <formula>30</formula>
    </cfRule>
  </conditionalFormatting>
  <conditionalFormatting sqref="C4:C23">
    <cfRule type="cellIs" priority="18" operator="lessThanOrEqual" dxfId="4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7C2A"/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2" customWidth="1" min="4" max="4"/>
    <col width="14" customWidth="1" min="5" max="5"/>
    <col width="14" customWidth="1" min="6" max="6"/>
    <col width="13" customWidth="1" min="7" max="7"/>
    <col width="14" customWidth="1" min="8" max="8"/>
  </cols>
  <sheetData>
    <row r="1" ht="28" customHeight="1">
      <c r="A1" s="17" t="inlineStr">
        <is>
          <t>⬡  DAWA INTEL — BATCH REGISTER  |  Add one row per received batch, any pharmacy</t>
        </is>
      </c>
    </row>
    <row r="2" ht="22" customHeight="1">
      <c r="A2" s="29" t="inlineStr">
        <is>
          <t>Status options: Active (in stock) · Depleted (fully dispensed) · Expired (past date, not dispensed)  |  Column H auto-calculates days to expiry.  Negative = already expired.</t>
        </is>
      </c>
    </row>
    <row r="3" ht="20" customHeight="1">
      <c r="A3" s="30" t="inlineStr">
        <is>
          <t>Pharmacy Name</t>
        </is>
      </c>
      <c r="B3" s="30" t="inlineStr">
        <is>
          <t>Drug Name</t>
        </is>
      </c>
      <c r="C3" s="30" t="inlineStr">
        <is>
          <t>Batch Ref</t>
        </is>
      </c>
      <c r="D3" s="30" t="inlineStr">
        <is>
          <t>Qty Received</t>
        </is>
      </c>
      <c r="E3" s="30" t="inlineStr">
        <is>
          <t>Date Received</t>
        </is>
      </c>
      <c r="F3" s="3" t="inlineStr">
        <is>
          <t>Expiry Date ★</t>
        </is>
      </c>
      <c r="G3" s="30" t="inlineStr">
        <is>
          <t>Status</t>
        </is>
      </c>
      <c r="H3" s="31" t="inlineStr">
        <is>
          <t>Days to Expiry</t>
        </is>
      </c>
    </row>
    <row r="4" ht="18" customHeight="1">
      <c r="A4" s="32" t="inlineStr">
        <is>
          <t>Mary Wanjiku Pharmacy</t>
        </is>
      </c>
      <c r="B4" s="33" t="inlineStr">
        <is>
          <t>Metformin 500mg tabs</t>
        </is>
      </c>
      <c r="C4" s="34" t="inlineStr">
        <is>
          <t>BN2501-MF</t>
        </is>
      </c>
      <c r="D4" s="35" t="n">
        <v>500</v>
      </c>
      <c r="E4" s="34" t="inlineStr">
        <is>
          <t>2026-05-28</t>
        </is>
      </c>
      <c r="F4" s="36" t="inlineStr">
        <is>
          <t>2027-08-27</t>
        </is>
      </c>
      <c r="G4" s="37" t="inlineStr">
        <is>
          <t>Active</t>
        </is>
      </c>
      <c r="H4" s="38">
        <f>IF(OR(G4="Depleted",F4=""),"—",INT(F4-TODAY()))</f>
        <v/>
      </c>
    </row>
    <row r="5" ht="18" customHeight="1">
      <c r="A5" s="39" t="inlineStr">
        <is>
          <t>Mary Wanjiku Pharmacy</t>
        </is>
      </c>
      <c r="B5" s="40" t="inlineStr">
        <is>
          <t>Paracetamol 500mg tabs</t>
        </is>
      </c>
      <c r="C5" s="41" t="inlineStr">
        <is>
          <t>BN2501-PC</t>
        </is>
      </c>
      <c r="D5" s="42" t="n">
        <v>800</v>
      </c>
      <c r="E5" s="41" t="inlineStr">
        <is>
          <t>2026-05-28</t>
        </is>
      </c>
      <c r="F5" s="43" t="inlineStr">
        <is>
          <t>2027-12-05</t>
        </is>
      </c>
      <c r="G5" s="44" t="inlineStr">
        <is>
          <t>Active</t>
        </is>
      </c>
      <c r="H5" s="45">
        <f>IF(OR(G5="Depleted",F5=""),"—",INT(F5-TODAY()))</f>
        <v/>
      </c>
    </row>
    <row r="6" ht="18" customHeight="1">
      <c r="A6" s="32" t="inlineStr">
        <is>
          <t>Mary Wanjiku Pharmacy</t>
        </is>
      </c>
      <c r="B6" s="33" t="inlineStr">
        <is>
          <t>Amoxicillin 250mg caps</t>
        </is>
      </c>
      <c r="C6" s="34" t="inlineStr">
        <is>
          <t>BN2502-AM2</t>
        </is>
      </c>
      <c r="D6" s="35" t="n">
        <v>400</v>
      </c>
      <c r="E6" s="34" t="inlineStr">
        <is>
          <t>2026-06-11</t>
        </is>
      </c>
      <c r="F6" s="36" t="inlineStr">
        <is>
          <t>2027-05-19</t>
        </is>
      </c>
      <c r="G6" s="37" t="inlineStr">
        <is>
          <t>Active</t>
        </is>
      </c>
      <c r="H6" s="38">
        <f>IF(OR(G6="Depleted",F6=""),"—",INT(F6-TODAY()))</f>
        <v/>
      </c>
    </row>
    <row r="7" ht="18" customHeight="1">
      <c r="A7" s="39" t="inlineStr">
        <is>
          <t>Mary Wanjiku Pharmacy</t>
        </is>
      </c>
      <c r="B7" s="40" t="inlineStr">
        <is>
          <t>Amlodipine 5mg tabs</t>
        </is>
      </c>
      <c r="C7" s="41" t="inlineStr">
        <is>
          <t>AM240901</t>
        </is>
      </c>
      <c r="D7" s="42" t="n">
        <v>300</v>
      </c>
      <c r="E7" s="41" t="inlineStr">
        <is>
          <t>2026-05-24</t>
        </is>
      </c>
      <c r="F7" s="43" t="inlineStr">
        <is>
          <t>2026-09-06</t>
        </is>
      </c>
      <c r="G7" s="44" t="inlineStr">
        <is>
          <t>Active</t>
        </is>
      </c>
      <c r="H7" s="45">
        <f>IF(OR(G7="Depleted",F7=""),"—",INT(F7-TODAY()))</f>
        <v/>
      </c>
    </row>
    <row r="8" ht="18" customHeight="1">
      <c r="A8" s="32" t="inlineStr">
        <is>
          <t>Mary Wanjiku Pharmacy</t>
        </is>
      </c>
      <c r="B8" s="33" t="inlineStr">
        <is>
          <t>Ibuprofen 400mg tabs</t>
        </is>
      </c>
      <c r="C8" s="34" t="inlineStr">
        <is>
          <t>BN2501-IB</t>
        </is>
      </c>
      <c r="D8" s="35" t="n">
        <v>150</v>
      </c>
      <c r="E8" s="34" t="inlineStr">
        <is>
          <t>2026-06-08</t>
        </is>
      </c>
      <c r="F8" s="36" t="inlineStr">
        <is>
          <t>2028-03-14</t>
        </is>
      </c>
      <c r="G8" s="37" t="inlineStr">
        <is>
          <t>Active</t>
        </is>
      </c>
      <c r="H8" s="38">
        <f>IF(OR(G8="Depleted",F8=""),"—",INT(F8-TODAY()))</f>
        <v/>
      </c>
    </row>
    <row r="9" ht="18" customHeight="1">
      <c r="A9" s="39" t="inlineStr">
        <is>
          <t>Mary Wanjiku Pharmacy</t>
        </is>
      </c>
      <c r="B9" s="40" t="inlineStr">
        <is>
          <t>ORS Sachet</t>
        </is>
      </c>
      <c r="C9" s="41" t="inlineStr">
        <is>
          <t>BN2503-ORS</t>
        </is>
      </c>
      <c r="D9" s="42" t="n">
        <v>200</v>
      </c>
      <c r="E9" s="41" t="inlineStr">
        <is>
          <t>2026-06-23</t>
        </is>
      </c>
      <c r="F9" s="43" t="inlineStr">
        <is>
          <t>2028-06-22</t>
        </is>
      </c>
      <c r="G9" s="44" t="inlineStr">
        <is>
          <t>Active</t>
        </is>
      </c>
      <c r="H9" s="45">
        <f>IF(OR(G9="Depleted",F9=""),"—",INT(F9-TODAY()))</f>
        <v/>
      </c>
    </row>
    <row r="10" ht="18" customHeight="1">
      <c r="A10" s="32" t="inlineStr">
        <is>
          <t>Mary Wanjiku Pharmacy</t>
        </is>
      </c>
      <c r="B10" s="33" t="inlineStr">
        <is>
          <t>Fluconazole 150mg caps</t>
        </is>
      </c>
      <c r="C10" s="34" t="inlineStr">
        <is>
          <t>FL2401-OLD</t>
        </is>
      </c>
      <c r="D10" s="35" t="n">
        <v>50</v>
      </c>
      <c r="E10" s="34" t="inlineStr">
        <is>
          <t>2026-05-14</t>
        </is>
      </c>
      <c r="F10" s="36" t="inlineStr">
        <is>
          <t>2026-07-18</t>
        </is>
      </c>
      <c r="G10" s="46" t="inlineStr">
        <is>
          <t>Depleted</t>
        </is>
      </c>
      <c r="H10" s="38">
        <f>IF(OR(G10="Depleted",F10=""),"—",INT(F10-TODAY()))</f>
        <v/>
      </c>
    </row>
    <row r="11" ht="18" customHeight="1">
      <c r="A11" s="39" t="inlineStr">
        <is>
          <t>Mary Wanjiku Pharmacy</t>
        </is>
      </c>
      <c r="B11" s="40" t="inlineStr">
        <is>
          <t>Amoxicillin 500mg caps</t>
        </is>
      </c>
      <c r="C11" s="41" t="inlineStr">
        <is>
          <t>BN2502-AM5</t>
        </is>
      </c>
      <c r="D11" s="42" t="n">
        <v>200</v>
      </c>
      <c r="E11" s="41" t="inlineStr">
        <is>
          <t>2026-06-13</t>
        </is>
      </c>
      <c r="F11" s="43" t="inlineStr">
        <is>
          <t>2027-08-27</t>
        </is>
      </c>
      <c r="G11" s="44" t="inlineStr">
        <is>
          <t>Active</t>
        </is>
      </c>
      <c r="H11" s="45">
        <f>IF(OR(G11="Depleted",F11=""),"—",INT(F11-TODAY()))</f>
        <v/>
      </c>
    </row>
    <row r="12" ht="18" customHeight="1">
      <c r="A12" s="32" t="inlineStr">
        <is>
          <t>Mary Wanjiku Pharmacy</t>
        </is>
      </c>
      <c r="B12" s="33" t="inlineStr">
        <is>
          <t>Ciprofloxacin 500mg tabs</t>
        </is>
      </c>
      <c r="C12" s="34" t="inlineStr">
        <is>
          <t>BN2502-CP</t>
        </is>
      </c>
      <c r="D12" s="35" t="n">
        <v>120</v>
      </c>
      <c r="E12" s="34" t="inlineStr">
        <is>
          <t>2026-06-18</t>
        </is>
      </c>
      <c r="F12" s="36" t="inlineStr">
        <is>
          <t>2027-12-05</t>
        </is>
      </c>
      <c r="G12" s="37" t="inlineStr">
        <is>
          <t>Active</t>
        </is>
      </c>
      <c r="H12" s="38">
        <f>IF(OR(G12="Depleted",F12=""),"—",INT(F12-TODAY()))</f>
        <v/>
      </c>
    </row>
    <row r="13" ht="18" customHeight="1">
      <c r="A13" s="39" t="inlineStr">
        <is>
          <t>Mary Wanjiku Pharmacy</t>
        </is>
      </c>
      <c r="B13" s="40" t="inlineStr">
        <is>
          <t>Omeprazole 20mg caps</t>
        </is>
      </c>
      <c r="C13" s="41" t="inlineStr">
        <is>
          <t>BN2503-OM</t>
        </is>
      </c>
      <c r="D13" s="42" t="n">
        <v>200</v>
      </c>
      <c r="E13" s="41" t="inlineStr">
        <is>
          <t>2026-06-25</t>
        </is>
      </c>
      <c r="F13" s="43" t="inlineStr">
        <is>
          <t>2027-10-16</t>
        </is>
      </c>
      <c r="G13" s="44" t="inlineStr">
        <is>
          <t>Active</t>
        </is>
      </c>
      <c r="H13" s="45">
        <f>IF(OR(G13="Depleted",F13=""),"—",INT(F13-TODAY()))</f>
        <v/>
      </c>
    </row>
    <row r="14" ht="18" customHeight="1">
      <c r="A14" s="32" t="inlineStr">
        <is>
          <t>Mary Wanjiku Pharmacy</t>
        </is>
      </c>
      <c r="B14" s="33" t="inlineStr">
        <is>
          <t>Salbutamol 100mcg inhaler</t>
        </is>
      </c>
      <c r="C14" s="34" t="inlineStr">
        <is>
          <t>BN2501-SB</t>
        </is>
      </c>
      <c r="D14" s="35" t="n">
        <v>20</v>
      </c>
      <c r="E14" s="34" t="inlineStr">
        <is>
          <t>2026-06-08</t>
        </is>
      </c>
      <c r="F14" s="36" t="inlineStr">
        <is>
          <t>2028-06-22</t>
        </is>
      </c>
      <c r="G14" s="37" t="inlineStr">
        <is>
          <t>Active</t>
        </is>
      </c>
      <c r="H14" s="38">
        <f>IF(OR(G14="Depleted",F14=""),"—",INT(F14-TODAY()))</f>
        <v/>
      </c>
    </row>
    <row r="15" ht="18" customHeight="1">
      <c r="A15" s="39" t="inlineStr">
        <is>
          <t>Mary Wanjiku Pharmacy</t>
        </is>
      </c>
      <c r="B15" s="40" t="inlineStr">
        <is>
          <t>Losartan 50mg tabs</t>
        </is>
      </c>
      <c r="C15" s="41" t="inlineStr">
        <is>
          <t>BN2502-LO</t>
        </is>
      </c>
      <c r="D15" s="42" t="n">
        <v>240</v>
      </c>
      <c r="E15" s="41" t="inlineStr">
        <is>
          <t>2026-06-13</t>
        </is>
      </c>
      <c r="F15" s="43" t="inlineStr">
        <is>
          <t>2027-12-05</t>
        </is>
      </c>
      <c r="G15" s="44" t="inlineStr">
        <is>
          <t>Active</t>
        </is>
      </c>
      <c r="H15" s="45">
        <f>IF(OR(G15="Depleted",F15=""),"—",INT(F15-TODAY()))</f>
        <v/>
      </c>
    </row>
    <row r="16" ht="18" customHeight="1">
      <c r="A16" s="32" t="inlineStr">
        <is>
          <t>Mary Wanjiku Pharmacy</t>
        </is>
      </c>
      <c r="B16" s="33" t="inlineStr">
        <is>
          <t>Artemether-Lumefantrine 20/120mg</t>
        </is>
      </c>
      <c r="C16" s="34" t="inlineStr">
        <is>
          <t>BN2503-AL</t>
        </is>
      </c>
      <c r="D16" s="35" t="n">
        <v>120</v>
      </c>
      <c r="E16" s="34" t="inlineStr">
        <is>
          <t>2026-06-25</t>
        </is>
      </c>
      <c r="F16" s="36" t="inlineStr">
        <is>
          <t>2027-08-27</t>
        </is>
      </c>
      <c r="G16" s="37" t="inlineStr">
        <is>
          <t>Active</t>
        </is>
      </c>
      <c r="H16" s="38">
        <f>IF(OR(G16="Depleted",F16=""),"—",INT(F16-TODAY()))</f>
        <v/>
      </c>
    </row>
    <row r="17" ht="18" customHeight="1">
      <c r="A17" s="39" t="inlineStr">
        <is>
          <t>Mary Wanjiku Pharmacy</t>
        </is>
      </c>
      <c r="B17" s="40" t="inlineStr">
        <is>
          <t>Metronidazole 200mg tabs</t>
        </is>
      </c>
      <c r="C17" s="41" t="inlineStr">
        <is>
          <t>BN2503-MT</t>
        </is>
      </c>
      <c r="D17" s="42" t="n">
        <v>180</v>
      </c>
      <c r="E17" s="41" t="inlineStr">
        <is>
          <t>2026-07-15</t>
        </is>
      </c>
      <c r="F17" s="43" t="inlineStr">
        <is>
          <t>2027-12-05</t>
        </is>
      </c>
      <c r="G17" s="44" t="inlineStr">
        <is>
          <t>Active</t>
        </is>
      </c>
      <c r="H17" s="45">
        <f>IF(OR(G17="Depleted",F17=""),"—",INT(F17-TODAY()))</f>
        <v/>
      </c>
    </row>
  </sheetData>
  <mergeCells count="2">
    <mergeCell ref="A2:H2"/>
    <mergeCell ref="A1:H1"/>
  </mergeCells>
  <conditionalFormatting sqref="G4:G17">
    <cfRule type="containsText" priority="1" operator="containsText" dxfId="8" text="Active">
      <formula>NOT(ISERROR(SEARCH("Active",G4)))</formula>
    </cfRule>
    <cfRule type="containsText" priority="2" operator="containsText" dxfId="9" text="Depleted">
      <formula>NOT(ISERROR(SEARCH("Depleted",G4)))</formula>
    </cfRule>
    <cfRule type="containsText" priority="3" operator="containsText" dxfId="10" text="Expired">
      <formula>NOT(ISERROR(SEARCH("Expired",G4)))</formula>
    </cfRule>
  </conditionalFormatting>
  <conditionalFormatting sqref="H4:H17">
    <cfRule type="cellIs" priority="4" operator="lessThanOrEqual" dxfId="11">
      <formula>30</formula>
    </cfRule>
    <cfRule type="cellIs" priority="5" operator="between" dxfId="12">
      <formula>31</formula>
      <formula>60</formula>
    </cfRule>
    <cfRule type="cellIs" priority="6" operator="greaterThan" dxfId="13">
      <formula>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7C2A"/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1" t="inlineStr">
        <is>
          <t>⬡  DAWA INTEL — OVERVIEW DASHBOARD  |  Check every Sunday evening</t>
        </is>
      </c>
    </row>
    <row r="2" ht="18" customHeight="1">
      <c r="A2" s="47" t="inlineStr">
        <is>
          <t>Auto-updates as Form Responses arrive  |  Last rebuilt: 23 Jul 2026  |  Add more pharmacies below as you onboard them</t>
        </is>
      </c>
    </row>
    <row r="4" ht="18" customHeight="1">
      <c r="B4" s="48" t="inlineStr">
        <is>
          <t>Stockouts</t>
        </is>
      </c>
      <c r="C4" s="48" t="inlineStr">
        <is>
          <t>Critical</t>
        </is>
      </c>
      <c r="D4" s="48" t="inlineStr">
        <is>
          <t>Low Stock</t>
        </is>
      </c>
      <c r="E4" s="48" t="inlineStr">
        <is>
          <t>Expiry Warnings</t>
        </is>
      </c>
      <c r="F4" s="48" t="inlineStr">
        <is>
          <t>Expired Batches</t>
        </is>
      </c>
      <c r="G4" s="48" t="inlineStr">
        <is>
          <t>Action Needed ★</t>
        </is>
      </c>
    </row>
    <row r="5" ht="44" customHeight="1">
      <c r="B5" s="49">
        <f>COUNTIF('Mary Wanjiku Pharmacy'!H4:H23,"STOCKOUT")</f>
        <v/>
      </c>
      <c r="C5" s="49">
        <f>COUNTIF('Mary Wanjiku Pharmacy'!H4:H23,"CRITICAL")</f>
        <v/>
      </c>
      <c r="D5" s="49">
        <f>COUNTIF('Mary Wanjiku Pharmacy'!H4:H23,"LOW")</f>
        <v/>
      </c>
      <c r="E5" s="49">
        <f>COUNTIF('Mary Wanjiku Pharmacy'!K4:K23,"EXPIRES SOON")+COUNTIF('Mary Wanjiku Pharmacy'!K4:K23,"EXPIRING 60D")</f>
        <v/>
      </c>
      <c r="F5" s="49">
        <f>COUNTIF('Mary Wanjiku Pharmacy'!K4:K23,"EXPIRED")</f>
        <v/>
      </c>
      <c r="G5" s="49">
        <f>COUNTIF('Mary Wanjiku Pharmacy'!L4:L23,"ACTION NEEDED")</f>
        <v/>
      </c>
    </row>
    <row r="8" ht="18" customHeight="1">
      <c r="A8" s="3" t="inlineStr">
        <is>
          <t>PHARMACY SUMMARY — Add one row per enrolled pharmacy</t>
        </is>
      </c>
    </row>
    <row r="9" ht="18" customHeight="1">
      <c r="A9" s="48" t="inlineStr">
        <is>
          <t>Pharmacy</t>
        </is>
      </c>
      <c r="B9" s="48" t="inlineStr">
        <is>
          <t>Drugs Tracked</t>
        </is>
      </c>
      <c r="C9" s="48" t="inlineStr">
        <is>
          <t>Stockouts</t>
        </is>
      </c>
      <c r="D9" s="48" t="inlineStr">
        <is>
          <t>Critical</t>
        </is>
      </c>
      <c r="E9" s="48" t="inlineStr">
        <is>
          <t>Low Stock</t>
        </is>
      </c>
      <c r="F9" s="48" t="inlineStr">
        <is>
          <t>Expiry Flags</t>
        </is>
      </c>
      <c r="G9" s="48" t="inlineStr">
        <is>
          <t>Action Items</t>
        </is>
      </c>
      <c r="H9" s="48" t="inlineStr">
        <is>
          <t>Avg Days Stock</t>
        </is>
      </c>
    </row>
    <row r="10" ht="20" customHeight="1">
      <c r="A10" s="32" t="inlineStr">
        <is>
          <t>Mary Wanjiku Pharmacy</t>
        </is>
      </c>
      <c r="B10" s="36">
        <f>COUNTA('Mary Wanjiku Pharmacy'!A4:A23)</f>
        <v/>
      </c>
      <c r="C10" s="36">
        <f>COUNTIF('Mary Wanjiku Pharmacy'!H4:H23,"STOCKOUT")</f>
        <v/>
      </c>
      <c r="D10" s="36">
        <f>COUNTIF('Mary Wanjiku Pharmacy'!H4:H23,"CRITICAL")</f>
        <v/>
      </c>
      <c r="E10" s="36">
        <f>COUNTIF('Mary Wanjiku Pharmacy'!H4:H23,"LOW")</f>
        <v/>
      </c>
      <c r="F10" s="36">
        <f>COUNTIF('Mary Wanjiku Pharmacy'!K4:K23,"EXPIRES SOON")+COUNTIF('Mary Wanjiku Pharmacy'!K4:K23,"EXPIRING 60D")</f>
        <v/>
      </c>
      <c r="G10" s="36">
        <f>COUNTIF('Mary Wanjiku Pharmacy'!L4:L23,"ACTION NEEDED")</f>
        <v/>
      </c>
      <c r="H10" s="50">
        <f>IFERROR(AVERAGEIF('Mary Wanjiku Pharmacy'!F4:F23,"&lt;999"),"No data")</f>
        <v/>
      </c>
    </row>
    <row r="11" ht="18" customHeight="1">
      <c r="A11" s="51" t="inlineStr">
        <is>
          <t>[Duplicate Mary Wanjiku tab → rename → add here]</t>
        </is>
      </c>
      <c r="B11" s="51" t="inlineStr"/>
      <c r="C11" s="51" t="inlineStr"/>
      <c r="D11" s="51" t="inlineStr"/>
      <c r="E11" s="51" t="inlineStr"/>
      <c r="F11" s="51" t="inlineStr"/>
      <c r="G11" s="51" t="inlineStr"/>
      <c r="H11" s="51" t="inlineStr"/>
    </row>
    <row r="12" ht="18" customHeight="1">
      <c r="A12" s="51" t="inlineStr">
        <is>
          <t>[Duplicate Mary Wanjiku tab → rename → add here]</t>
        </is>
      </c>
      <c r="B12" s="51" t="inlineStr"/>
      <c r="C12" s="51" t="inlineStr"/>
      <c r="D12" s="51" t="inlineStr"/>
      <c r="E12" s="51" t="inlineStr"/>
      <c r="F12" s="51" t="inlineStr"/>
      <c r="G12" s="51" t="inlineStr"/>
      <c r="H12" s="51" t="inlineStr"/>
    </row>
    <row r="13" ht="18" customHeight="1">
      <c r="A13" s="51" t="inlineStr">
        <is>
          <t>[Duplicate Mary Wanjiku tab → rename → add here]</t>
        </is>
      </c>
      <c r="B13" s="51" t="inlineStr"/>
      <c r="C13" s="51" t="inlineStr"/>
      <c r="D13" s="51" t="inlineStr"/>
      <c r="E13" s="51" t="inlineStr"/>
      <c r="F13" s="51" t="inlineStr"/>
      <c r="G13" s="51" t="inlineStr"/>
      <c r="H13" s="51" t="inlineStr"/>
    </row>
    <row r="16" ht="40" customHeight="1">
      <c r="A16" s="52" t="inlineStr">
        <is>
          <t>HOW TO ADD A PHARMACY: Duplicate 'Mary Wanjiku Pharmacy' tab → Rename it exactly → Update col A (drug names) → Enter opening stocks in col M → Add to Form dropdown → Add a summary row above (rows 11–13) with COUNTIF formulas pointing to the new tab name.</t>
        </is>
      </c>
    </row>
  </sheetData>
  <mergeCells count="4">
    <mergeCell ref="A16:H16"/>
    <mergeCell ref="A8:H8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88888"/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3" customWidth="1" min="3" max="3"/>
    <col width="18" customWidth="1" min="4" max="4"/>
    <col width="34" customWidth="1" min="5" max="5"/>
    <col width="16" customWidth="1" min="6" max="6"/>
    <col width="10" customWidth="1" min="7" max="7"/>
    <col width="20" customWidth="1" min="8" max="8"/>
    <col width="25" customWidth="1" min="9" max="9"/>
  </cols>
  <sheetData>
    <row r="1" ht="20" customHeight="1">
      <c r="A1" s="3" t="inlineStr">
        <is>
          <t>Timestamp</t>
        </is>
      </c>
      <c r="B1" s="3" t="inlineStr">
        <is>
          <t>Pharmacy Name</t>
        </is>
      </c>
      <c r="C1" s="3" t="inlineStr">
        <is>
          <t>Date</t>
        </is>
      </c>
      <c r="D1" s="3" t="inlineStr">
        <is>
          <t>Staff Name</t>
        </is>
      </c>
      <c r="E1" s="3" t="inlineStr">
        <is>
          <t>Drug Name</t>
        </is>
      </c>
      <c r="F1" s="3" t="inlineStr">
        <is>
          <t>Movement Type</t>
        </is>
      </c>
      <c r="G1" s="3" t="inlineStr">
        <is>
          <t>Quantity</t>
        </is>
      </c>
      <c r="H1" s="3" t="inlineStr">
        <is>
          <t>Expiry Date (if Received)</t>
        </is>
      </c>
      <c r="I1" s="3" t="inlineStr">
        <is>
          <t>Notes</t>
        </is>
      </c>
    </row>
    <row r="2" ht="16" customHeight="1">
      <c r="A2" s="53" t="inlineStr">
        <is>
          <t>2026-05-28 08:06:00</t>
        </is>
      </c>
      <c r="B2" s="53" t="inlineStr">
        <is>
          <t>Mary Wanjiku Pharmacy</t>
        </is>
      </c>
      <c r="C2" s="53" t="inlineStr">
        <is>
          <t>2026-05-28</t>
        </is>
      </c>
      <c r="D2" s="53" t="inlineStr">
        <is>
          <t>Jane Muthoni</t>
        </is>
      </c>
      <c r="E2" s="53" t="inlineStr">
        <is>
          <t>Metformin 500mg tabs</t>
        </is>
      </c>
      <c r="F2" s="53" t="inlineStr">
        <is>
          <t>Received</t>
        </is>
      </c>
      <c r="G2" s="53" t="n">
        <v>500</v>
      </c>
      <c r="H2" s="53" t="inlineStr">
        <is>
          <t>2027-08-27</t>
        </is>
      </c>
      <c r="I2" s="53" t="inlineStr">
        <is>
          <t>Supplier: Surgipharm BN2501</t>
        </is>
      </c>
    </row>
    <row r="3" ht="16" customHeight="1">
      <c r="A3" s="54" t="inlineStr">
        <is>
          <t>2026-05-30 08:09:00</t>
        </is>
      </c>
      <c r="B3" s="54" t="inlineStr">
        <is>
          <t>Mary Wanjiku Pharmacy</t>
        </is>
      </c>
      <c r="C3" s="54" t="inlineStr">
        <is>
          <t>2026-05-30</t>
        </is>
      </c>
      <c r="D3" s="54" t="inlineStr">
        <is>
          <t>Jane Muthoni</t>
        </is>
      </c>
      <c r="E3" s="54" t="inlineStr">
        <is>
          <t>Metformin 500mg tabs</t>
        </is>
      </c>
      <c r="F3" s="54" t="inlineStr">
        <is>
          <t>Dispensed</t>
        </is>
      </c>
      <c r="G3" s="54" t="n">
        <v>78</v>
      </c>
      <c r="H3" s="54" t="inlineStr"/>
      <c r="I3" s="54" t="inlineStr"/>
    </row>
    <row r="4" ht="16" customHeight="1">
      <c r="A4" s="53" t="inlineStr">
        <is>
          <t>2026-06-06 08:12:00</t>
        </is>
      </c>
      <c r="B4" s="53" t="inlineStr">
        <is>
          <t>Mary Wanjiku Pharmacy</t>
        </is>
      </c>
      <c r="C4" s="53" t="inlineStr">
        <is>
          <t>2026-06-06</t>
        </is>
      </c>
      <c r="D4" s="53" t="inlineStr">
        <is>
          <t>Jane Muthoni</t>
        </is>
      </c>
      <c r="E4" s="53" t="inlineStr">
        <is>
          <t>Metformin 500mg tabs</t>
        </is>
      </c>
      <c r="F4" s="53" t="inlineStr">
        <is>
          <t>Dispensed</t>
        </is>
      </c>
      <c r="G4" s="53" t="n">
        <v>82</v>
      </c>
      <c r="H4" s="53" t="inlineStr"/>
      <c r="I4" s="53" t="inlineStr"/>
    </row>
    <row r="5" ht="16" customHeight="1">
      <c r="A5" s="54" t="inlineStr">
        <is>
          <t>2026-06-13 08:15:00</t>
        </is>
      </c>
      <c r="B5" s="54" t="inlineStr">
        <is>
          <t>Mary Wanjiku Pharmacy</t>
        </is>
      </c>
      <c r="C5" s="54" t="inlineStr">
        <is>
          <t>2026-06-13</t>
        </is>
      </c>
      <c r="D5" s="54" t="inlineStr">
        <is>
          <t>Jane Muthoni</t>
        </is>
      </c>
      <c r="E5" s="54" t="inlineStr">
        <is>
          <t>Metformin 500mg tabs</t>
        </is>
      </c>
      <c r="F5" s="54" t="inlineStr">
        <is>
          <t>Dispensed</t>
        </is>
      </c>
      <c r="G5" s="54" t="n">
        <v>79</v>
      </c>
      <c r="H5" s="54" t="inlineStr"/>
      <c r="I5" s="54" t="inlineStr"/>
    </row>
    <row r="6" ht="16" customHeight="1">
      <c r="A6" s="53" t="inlineStr">
        <is>
          <t>2026-06-20 08:18:00</t>
        </is>
      </c>
      <c r="B6" s="53" t="inlineStr">
        <is>
          <t>Mary Wanjiku Pharmacy</t>
        </is>
      </c>
      <c r="C6" s="53" t="inlineStr">
        <is>
          <t>2026-06-20</t>
        </is>
      </c>
      <c r="D6" s="53" t="inlineStr">
        <is>
          <t>Jane Muthoni</t>
        </is>
      </c>
      <c r="E6" s="53" t="inlineStr">
        <is>
          <t>Metformin 500mg tabs</t>
        </is>
      </c>
      <c r="F6" s="53" t="inlineStr">
        <is>
          <t>Dispensed</t>
        </is>
      </c>
      <c r="G6" s="53" t="n">
        <v>83</v>
      </c>
      <c r="H6" s="53" t="inlineStr"/>
      <c r="I6" s="53" t="inlineStr"/>
    </row>
    <row r="7" ht="16" customHeight="1">
      <c r="A7" s="54" t="inlineStr">
        <is>
          <t>2026-06-27 08:21:00</t>
        </is>
      </c>
      <c r="B7" s="54" t="inlineStr">
        <is>
          <t>Mary Wanjiku Pharmacy</t>
        </is>
      </c>
      <c r="C7" s="54" t="inlineStr">
        <is>
          <t>2026-06-27</t>
        </is>
      </c>
      <c r="D7" s="54" t="inlineStr">
        <is>
          <t>Jane Muthoni</t>
        </is>
      </c>
      <c r="E7" s="54" t="inlineStr">
        <is>
          <t>Metformin 500mg tabs</t>
        </is>
      </c>
      <c r="F7" s="54" t="inlineStr">
        <is>
          <t>Dispensed</t>
        </is>
      </c>
      <c r="G7" s="54" t="n">
        <v>77</v>
      </c>
      <c r="H7" s="54" t="inlineStr"/>
      <c r="I7" s="54" t="inlineStr"/>
    </row>
    <row r="8" ht="16" customHeight="1">
      <c r="A8" s="53" t="inlineStr">
        <is>
          <t>2026-07-04 08:24:00</t>
        </is>
      </c>
      <c r="B8" s="53" t="inlineStr">
        <is>
          <t>Mary Wanjiku Pharmacy</t>
        </is>
      </c>
      <c r="C8" s="53" t="inlineStr">
        <is>
          <t>2026-07-04</t>
        </is>
      </c>
      <c r="D8" s="53" t="inlineStr">
        <is>
          <t>Jane Muthoni</t>
        </is>
      </c>
      <c r="E8" s="53" t="inlineStr">
        <is>
          <t>Metformin 500mg tabs</t>
        </is>
      </c>
      <c r="F8" s="53" t="inlineStr">
        <is>
          <t>Dispensed</t>
        </is>
      </c>
      <c r="G8" s="53" t="n">
        <v>81</v>
      </c>
      <c r="H8" s="53" t="inlineStr"/>
      <c r="I8" s="53" t="inlineStr"/>
    </row>
    <row r="9" ht="16" customHeight="1">
      <c r="A9" s="54" t="inlineStr">
        <is>
          <t>2026-07-11 08:27:00</t>
        </is>
      </c>
      <c r="B9" s="54" t="inlineStr">
        <is>
          <t>Mary Wanjiku Pharmacy</t>
        </is>
      </c>
      <c r="C9" s="54" t="inlineStr">
        <is>
          <t>2026-07-11</t>
        </is>
      </c>
      <c r="D9" s="54" t="inlineStr">
        <is>
          <t>Jane Muthoni</t>
        </is>
      </c>
      <c r="E9" s="54" t="inlineStr">
        <is>
          <t>Metformin 500mg tabs</t>
        </is>
      </c>
      <c r="F9" s="54" t="inlineStr">
        <is>
          <t>Dispensed</t>
        </is>
      </c>
      <c r="G9" s="54" t="n">
        <v>80</v>
      </c>
      <c r="H9" s="54" t="inlineStr"/>
      <c r="I9" s="54" t="inlineStr"/>
    </row>
    <row r="10" ht="16" customHeight="1">
      <c r="A10" s="53" t="inlineStr">
        <is>
          <t>2026-07-18 08:30:00</t>
        </is>
      </c>
      <c r="B10" s="53" t="inlineStr">
        <is>
          <t>Mary Wanjiku Pharmacy</t>
        </is>
      </c>
      <c r="C10" s="53" t="inlineStr">
        <is>
          <t>2026-07-18</t>
        </is>
      </c>
      <c r="D10" s="53" t="inlineStr">
        <is>
          <t>Jane Muthoni</t>
        </is>
      </c>
      <c r="E10" s="53" t="inlineStr">
        <is>
          <t>Metformin 500mg tabs</t>
        </is>
      </c>
      <c r="F10" s="53" t="inlineStr">
        <is>
          <t>Dispensed</t>
        </is>
      </c>
      <c r="G10" s="53" t="n">
        <v>84</v>
      </c>
      <c r="H10" s="53" t="inlineStr"/>
      <c r="I10" s="53" t="inlineStr"/>
    </row>
    <row r="11" ht="16" customHeight="1">
      <c r="A11" s="54" t="inlineStr">
        <is>
          <t>2026-05-28 08:33:00</t>
        </is>
      </c>
      <c r="B11" s="54" t="inlineStr">
        <is>
          <t>Mary Wanjiku Pharmacy</t>
        </is>
      </c>
      <c r="C11" s="54" t="inlineStr">
        <is>
          <t>2026-05-28</t>
        </is>
      </c>
      <c r="D11" s="54" t="inlineStr">
        <is>
          <t>Jane Muthoni</t>
        </is>
      </c>
      <c r="E11" s="54" t="inlineStr">
        <is>
          <t>Paracetamol 500mg tabs</t>
        </is>
      </c>
      <c r="F11" s="54" t="inlineStr">
        <is>
          <t>Received</t>
        </is>
      </c>
      <c r="G11" s="54" t="n">
        <v>800</v>
      </c>
      <c r="H11" s="54" t="inlineStr">
        <is>
          <t>2027-12-05</t>
        </is>
      </c>
      <c r="I11" s="54" t="inlineStr">
        <is>
          <t>Bulk order</t>
        </is>
      </c>
    </row>
    <row r="12" ht="16" customHeight="1">
      <c r="A12" s="53" t="inlineStr">
        <is>
          <t>2026-05-30 08:36:00</t>
        </is>
      </c>
      <c r="B12" s="53" t="inlineStr">
        <is>
          <t>Mary Wanjiku Pharmacy</t>
        </is>
      </c>
      <c r="C12" s="53" t="inlineStr">
        <is>
          <t>2026-05-30</t>
        </is>
      </c>
      <c r="D12" s="53" t="inlineStr">
        <is>
          <t>Jane Muthoni</t>
        </is>
      </c>
      <c r="E12" s="53" t="inlineStr">
        <is>
          <t>Paracetamol 500mg tabs</t>
        </is>
      </c>
      <c r="F12" s="53" t="inlineStr">
        <is>
          <t>Dispensed</t>
        </is>
      </c>
      <c r="G12" s="53" t="n">
        <v>195</v>
      </c>
      <c r="H12" s="53" t="inlineStr"/>
      <c r="I12" s="53" t="inlineStr"/>
    </row>
    <row r="13" ht="16" customHeight="1">
      <c r="A13" s="54" t="inlineStr">
        <is>
          <t>2026-06-06 08:39:00</t>
        </is>
      </c>
      <c r="B13" s="54" t="inlineStr">
        <is>
          <t>Mary Wanjiku Pharmacy</t>
        </is>
      </c>
      <c r="C13" s="54" t="inlineStr">
        <is>
          <t>2026-06-06</t>
        </is>
      </c>
      <c r="D13" s="54" t="inlineStr">
        <is>
          <t>Jane Muthoni</t>
        </is>
      </c>
      <c r="E13" s="54" t="inlineStr">
        <is>
          <t>Paracetamol 500mg tabs</t>
        </is>
      </c>
      <c r="F13" s="54" t="inlineStr">
        <is>
          <t>Dispensed</t>
        </is>
      </c>
      <c r="G13" s="54" t="n">
        <v>210</v>
      </c>
      <c r="H13" s="54" t="inlineStr"/>
      <c r="I13" s="54" t="inlineStr"/>
    </row>
    <row r="14" ht="16" customHeight="1">
      <c r="A14" s="53" t="inlineStr">
        <is>
          <t>2026-06-13 08:42:00</t>
        </is>
      </c>
      <c r="B14" s="53" t="inlineStr">
        <is>
          <t>Mary Wanjiku Pharmacy</t>
        </is>
      </c>
      <c r="C14" s="53" t="inlineStr">
        <is>
          <t>2026-06-13</t>
        </is>
      </c>
      <c r="D14" s="53" t="inlineStr">
        <is>
          <t>Jane Muthoni</t>
        </is>
      </c>
      <c r="E14" s="53" t="inlineStr">
        <is>
          <t>Paracetamol 500mg tabs</t>
        </is>
      </c>
      <c r="F14" s="53" t="inlineStr">
        <is>
          <t>Dispensed</t>
        </is>
      </c>
      <c r="G14" s="53" t="n">
        <v>198</v>
      </c>
      <c r="H14" s="53" t="inlineStr"/>
      <c r="I14" s="53" t="inlineStr"/>
    </row>
    <row r="15" ht="16" customHeight="1">
      <c r="A15" s="54" t="inlineStr">
        <is>
          <t>2026-06-20 08:45:00</t>
        </is>
      </c>
      <c r="B15" s="54" t="inlineStr">
        <is>
          <t>Mary Wanjiku Pharmacy</t>
        </is>
      </c>
      <c r="C15" s="54" t="inlineStr">
        <is>
          <t>2026-06-20</t>
        </is>
      </c>
      <c r="D15" s="54" t="inlineStr">
        <is>
          <t>Jane Muthoni</t>
        </is>
      </c>
      <c r="E15" s="54" t="inlineStr">
        <is>
          <t>Paracetamol 500mg tabs</t>
        </is>
      </c>
      <c r="F15" s="54" t="inlineStr">
        <is>
          <t>Dispensed</t>
        </is>
      </c>
      <c r="G15" s="54" t="n">
        <v>205</v>
      </c>
      <c r="H15" s="54" t="inlineStr"/>
      <c r="I15" s="54" t="inlineStr"/>
    </row>
    <row r="16" ht="16" customHeight="1">
      <c r="A16" s="53" t="inlineStr">
        <is>
          <t>2026-06-27 08:48:00</t>
        </is>
      </c>
      <c r="B16" s="53" t="inlineStr">
        <is>
          <t>Mary Wanjiku Pharmacy</t>
        </is>
      </c>
      <c r="C16" s="53" t="inlineStr">
        <is>
          <t>2026-06-27</t>
        </is>
      </c>
      <c r="D16" s="53" t="inlineStr">
        <is>
          <t>Jane Muthoni</t>
        </is>
      </c>
      <c r="E16" s="53" t="inlineStr">
        <is>
          <t>Paracetamol 500mg tabs</t>
        </is>
      </c>
      <c r="F16" s="53" t="inlineStr">
        <is>
          <t>Dispensed</t>
        </is>
      </c>
      <c r="G16" s="53" t="n">
        <v>202</v>
      </c>
      <c r="H16" s="53" t="inlineStr"/>
      <c r="I16" s="53" t="inlineStr"/>
    </row>
    <row r="17" ht="16" customHeight="1">
      <c r="A17" s="54" t="inlineStr">
        <is>
          <t>2026-07-04 08:51:00</t>
        </is>
      </c>
      <c r="B17" s="54" t="inlineStr">
        <is>
          <t>Mary Wanjiku Pharmacy</t>
        </is>
      </c>
      <c r="C17" s="54" t="inlineStr">
        <is>
          <t>2026-07-04</t>
        </is>
      </c>
      <c r="D17" s="54" t="inlineStr">
        <is>
          <t>Jane Muthoni</t>
        </is>
      </c>
      <c r="E17" s="54" t="inlineStr">
        <is>
          <t>Paracetamol 500mg tabs</t>
        </is>
      </c>
      <c r="F17" s="54" t="inlineStr">
        <is>
          <t>Dispensed</t>
        </is>
      </c>
      <c r="G17" s="54" t="n">
        <v>208</v>
      </c>
      <c r="H17" s="54" t="inlineStr"/>
      <c r="I17" s="54" t="inlineStr"/>
    </row>
    <row r="18" ht="16" customHeight="1">
      <c r="A18" s="53" t="inlineStr">
        <is>
          <t>2026-07-11 08:54:00</t>
        </is>
      </c>
      <c r="B18" s="53" t="inlineStr">
        <is>
          <t>Mary Wanjiku Pharmacy</t>
        </is>
      </c>
      <c r="C18" s="53" t="inlineStr">
        <is>
          <t>2026-07-11</t>
        </is>
      </c>
      <c r="D18" s="53" t="inlineStr">
        <is>
          <t>Jane Muthoni</t>
        </is>
      </c>
      <c r="E18" s="53" t="inlineStr">
        <is>
          <t>Paracetamol 500mg tabs</t>
        </is>
      </c>
      <c r="F18" s="53" t="inlineStr">
        <is>
          <t>Dispensed</t>
        </is>
      </c>
      <c r="G18" s="53" t="n">
        <v>196</v>
      </c>
      <c r="H18" s="53" t="inlineStr"/>
      <c r="I18" s="53" t="inlineStr"/>
    </row>
    <row r="19" ht="16" customHeight="1">
      <c r="A19" s="54" t="inlineStr">
        <is>
          <t>2026-07-18 08:57:00</t>
        </is>
      </c>
      <c r="B19" s="54" t="inlineStr">
        <is>
          <t>Mary Wanjiku Pharmacy</t>
        </is>
      </c>
      <c r="C19" s="54" t="inlineStr">
        <is>
          <t>2026-07-18</t>
        </is>
      </c>
      <c r="D19" s="54" t="inlineStr">
        <is>
          <t>Jane Muthoni</t>
        </is>
      </c>
      <c r="E19" s="54" t="inlineStr">
        <is>
          <t>Paracetamol 500mg tabs</t>
        </is>
      </c>
      <c r="F19" s="54" t="inlineStr">
        <is>
          <t>Dispensed</t>
        </is>
      </c>
      <c r="G19" s="54" t="n">
        <v>203</v>
      </c>
      <c r="H19" s="54" t="inlineStr"/>
      <c r="I19" s="54" t="inlineStr"/>
    </row>
    <row r="20" ht="16" customHeight="1">
      <c r="A20" s="53" t="inlineStr">
        <is>
          <t>2026-06-11 08:02:00</t>
        </is>
      </c>
      <c r="B20" s="53" t="inlineStr">
        <is>
          <t>Mary Wanjiku Pharmacy</t>
        </is>
      </c>
      <c r="C20" s="53" t="inlineStr">
        <is>
          <t>2026-06-11</t>
        </is>
      </c>
      <c r="D20" s="53" t="inlineStr">
        <is>
          <t>Peter Kamau</t>
        </is>
      </c>
      <c r="E20" s="53" t="inlineStr">
        <is>
          <t>Amoxicillin 250mg caps</t>
        </is>
      </c>
      <c r="F20" s="53" t="inlineStr">
        <is>
          <t>Received</t>
        </is>
      </c>
      <c r="G20" s="53" t="n">
        <v>400</v>
      </c>
      <c r="H20" s="53" t="inlineStr">
        <is>
          <t>2027-05-19</t>
        </is>
      </c>
      <c r="I20" s="53" t="inlineStr"/>
    </row>
    <row r="21" ht="16" customHeight="1">
      <c r="A21" s="54" t="inlineStr">
        <is>
          <t>2026-06-13 08:05:00</t>
        </is>
      </c>
      <c r="B21" s="54" t="inlineStr">
        <is>
          <t>Mary Wanjiku Pharmacy</t>
        </is>
      </c>
      <c r="C21" s="54" t="inlineStr">
        <is>
          <t>2026-06-13</t>
        </is>
      </c>
      <c r="D21" s="54" t="inlineStr">
        <is>
          <t>Peter Kamau</t>
        </is>
      </c>
      <c r="E21" s="54" t="inlineStr">
        <is>
          <t>Amoxicillin 250mg caps</t>
        </is>
      </c>
      <c r="F21" s="54" t="inlineStr">
        <is>
          <t>Dispensed</t>
        </is>
      </c>
      <c r="G21" s="54" t="n">
        <v>115</v>
      </c>
      <c r="H21" s="54" t="inlineStr"/>
      <c r="I21" s="54" t="inlineStr">
        <is>
          <t>School season</t>
        </is>
      </c>
    </row>
    <row r="22" ht="16" customHeight="1">
      <c r="A22" s="53" t="inlineStr">
        <is>
          <t>2026-06-20 08:08:00</t>
        </is>
      </c>
      <c r="B22" s="53" t="inlineStr">
        <is>
          <t>Mary Wanjiku Pharmacy</t>
        </is>
      </c>
      <c r="C22" s="53" t="inlineStr">
        <is>
          <t>2026-06-20</t>
        </is>
      </c>
      <c r="D22" s="53" t="inlineStr">
        <is>
          <t>Peter Kamau</t>
        </is>
      </c>
      <c r="E22" s="53" t="inlineStr">
        <is>
          <t>Amoxicillin 250mg caps</t>
        </is>
      </c>
      <c r="F22" s="53" t="inlineStr">
        <is>
          <t>Dispensed</t>
        </is>
      </c>
      <c r="G22" s="53" t="n">
        <v>120</v>
      </c>
      <c r="H22" s="53" t="inlineStr"/>
      <c r="I22" s="53" t="inlineStr"/>
    </row>
    <row r="23" ht="16" customHeight="1">
      <c r="A23" s="54" t="inlineStr">
        <is>
          <t>2026-06-27 08:11:00</t>
        </is>
      </c>
      <c r="B23" s="54" t="inlineStr">
        <is>
          <t>Mary Wanjiku Pharmacy</t>
        </is>
      </c>
      <c r="C23" s="54" t="inlineStr">
        <is>
          <t>2026-06-27</t>
        </is>
      </c>
      <c r="D23" s="54" t="inlineStr">
        <is>
          <t>Peter Kamau</t>
        </is>
      </c>
      <c r="E23" s="54" t="inlineStr">
        <is>
          <t>Amoxicillin 250mg caps</t>
        </is>
      </c>
      <c r="F23" s="54" t="inlineStr">
        <is>
          <t>Dispensed</t>
        </is>
      </c>
      <c r="G23" s="54" t="n">
        <v>118</v>
      </c>
      <c r="H23" s="54" t="inlineStr"/>
      <c r="I23" s="54" t="inlineStr"/>
    </row>
    <row r="24" ht="16" customHeight="1">
      <c r="A24" s="53" t="inlineStr">
        <is>
          <t>2026-07-04 08:14:00</t>
        </is>
      </c>
      <c r="B24" s="53" t="inlineStr">
        <is>
          <t>Mary Wanjiku Pharmacy</t>
        </is>
      </c>
      <c r="C24" s="53" t="inlineStr">
        <is>
          <t>2026-07-04</t>
        </is>
      </c>
      <c r="D24" s="53" t="inlineStr">
        <is>
          <t>Peter Kamau</t>
        </is>
      </c>
      <c r="E24" s="53" t="inlineStr">
        <is>
          <t>Amoxicillin 250mg caps</t>
        </is>
      </c>
      <c r="F24" s="53" t="inlineStr">
        <is>
          <t>Dispensed</t>
        </is>
      </c>
      <c r="G24" s="53" t="n">
        <v>122</v>
      </c>
      <c r="H24" s="53" t="inlineStr"/>
      <c r="I24" s="53" t="inlineStr"/>
    </row>
    <row r="25" ht="16" customHeight="1">
      <c r="A25" s="54" t="inlineStr">
        <is>
          <t>2026-07-11 08:17:00</t>
        </is>
      </c>
      <c r="B25" s="54" t="inlineStr">
        <is>
          <t>Mary Wanjiku Pharmacy</t>
        </is>
      </c>
      <c r="C25" s="54" t="inlineStr">
        <is>
          <t>2026-07-11</t>
        </is>
      </c>
      <c r="D25" s="54" t="inlineStr">
        <is>
          <t>Peter Kamau</t>
        </is>
      </c>
      <c r="E25" s="54" t="inlineStr">
        <is>
          <t>Amoxicillin 250mg caps</t>
        </is>
      </c>
      <c r="F25" s="54" t="inlineStr">
        <is>
          <t>Dispensed</t>
        </is>
      </c>
      <c r="G25" s="54" t="n">
        <v>116</v>
      </c>
      <c r="H25" s="54" t="inlineStr"/>
      <c r="I25" s="54" t="inlineStr"/>
    </row>
    <row r="26" ht="16" customHeight="1">
      <c r="A26" s="53" t="inlineStr">
        <is>
          <t>2026-07-18 08:20:00</t>
        </is>
      </c>
      <c r="B26" s="53" t="inlineStr">
        <is>
          <t>Mary Wanjiku Pharmacy</t>
        </is>
      </c>
      <c r="C26" s="53" t="inlineStr">
        <is>
          <t>2026-07-18</t>
        </is>
      </c>
      <c r="D26" s="53" t="inlineStr">
        <is>
          <t>Peter Kamau</t>
        </is>
      </c>
      <c r="E26" s="53" t="inlineStr">
        <is>
          <t>Amoxicillin 250mg caps</t>
        </is>
      </c>
      <c r="F26" s="53" t="inlineStr">
        <is>
          <t>Dispensed</t>
        </is>
      </c>
      <c r="G26" s="53" t="n">
        <v>119</v>
      </c>
      <c r="H26" s="53" t="inlineStr"/>
      <c r="I26" s="53" t="inlineStr"/>
    </row>
    <row r="27" ht="16" customHeight="1">
      <c r="A27" s="54" t="inlineStr">
        <is>
          <t>2026-05-24 08:23:00</t>
        </is>
      </c>
      <c r="B27" s="54" t="inlineStr">
        <is>
          <t>Mary Wanjiku Pharmacy</t>
        </is>
      </c>
      <c r="C27" s="54" t="inlineStr">
        <is>
          <t>2026-05-24</t>
        </is>
      </c>
      <c r="D27" s="54" t="inlineStr">
        <is>
          <t>Jane Muthoni</t>
        </is>
      </c>
      <c r="E27" s="54" t="inlineStr">
        <is>
          <t>Amlodipine 5mg tabs</t>
        </is>
      </c>
      <c r="F27" s="54" t="inlineStr">
        <is>
          <t>Received</t>
        </is>
      </c>
      <c r="G27" s="54" t="n">
        <v>300</v>
      </c>
      <c r="H27" s="54" t="inlineStr">
        <is>
          <t>2026-09-06</t>
        </is>
      </c>
      <c r="I27" s="54" t="inlineStr">
        <is>
          <t>Batch AM240901 — note expiry</t>
        </is>
      </c>
    </row>
    <row r="28" ht="16" customHeight="1">
      <c r="A28" s="53" t="inlineStr">
        <is>
          <t>2026-05-27 08:26:00</t>
        </is>
      </c>
      <c r="B28" s="53" t="inlineStr">
        <is>
          <t>Mary Wanjiku Pharmacy</t>
        </is>
      </c>
      <c r="C28" s="53" t="inlineStr">
        <is>
          <t>2026-05-27</t>
        </is>
      </c>
      <c r="D28" s="53" t="inlineStr">
        <is>
          <t>Jane Muthoni</t>
        </is>
      </c>
      <c r="E28" s="53" t="inlineStr">
        <is>
          <t>Amlodipine 5mg tabs</t>
        </is>
      </c>
      <c r="F28" s="53" t="inlineStr">
        <is>
          <t>Dispensed</t>
        </is>
      </c>
      <c r="G28" s="53" t="n">
        <v>65</v>
      </c>
      <c r="H28" s="53" t="inlineStr"/>
      <c r="I28" s="53" t="inlineStr"/>
    </row>
    <row r="29" ht="16" customHeight="1">
      <c r="A29" s="54" t="inlineStr">
        <is>
          <t>2026-06-03 08:29:00</t>
        </is>
      </c>
      <c r="B29" s="54" t="inlineStr">
        <is>
          <t>Mary Wanjiku Pharmacy</t>
        </is>
      </c>
      <c r="C29" s="54" t="inlineStr">
        <is>
          <t>2026-06-03</t>
        </is>
      </c>
      <c r="D29" s="54" t="inlineStr">
        <is>
          <t>Jane Muthoni</t>
        </is>
      </c>
      <c r="E29" s="54" t="inlineStr">
        <is>
          <t>Amlodipine 5mg tabs</t>
        </is>
      </c>
      <c r="F29" s="54" t="inlineStr">
        <is>
          <t>Dispensed</t>
        </is>
      </c>
      <c r="G29" s="54" t="n">
        <v>68</v>
      </c>
      <c r="H29" s="54" t="inlineStr"/>
      <c r="I29" s="54" t="inlineStr"/>
    </row>
    <row r="30" ht="16" customHeight="1">
      <c r="A30" s="53" t="inlineStr">
        <is>
          <t>2026-06-10 08:32:00</t>
        </is>
      </c>
      <c r="B30" s="53" t="inlineStr">
        <is>
          <t>Mary Wanjiku Pharmacy</t>
        </is>
      </c>
      <c r="C30" s="53" t="inlineStr">
        <is>
          <t>2026-06-10</t>
        </is>
      </c>
      <c r="D30" s="53" t="inlineStr">
        <is>
          <t>Jane Muthoni</t>
        </is>
      </c>
      <c r="E30" s="53" t="inlineStr">
        <is>
          <t>Amlodipine 5mg tabs</t>
        </is>
      </c>
      <c r="F30" s="53" t="inlineStr">
        <is>
          <t>Dispensed</t>
        </is>
      </c>
      <c r="G30" s="53" t="n">
        <v>64</v>
      </c>
      <c r="H30" s="53" t="inlineStr"/>
      <c r="I30" s="53" t="inlineStr"/>
    </row>
    <row r="31" ht="16" customHeight="1">
      <c r="A31" s="54" t="inlineStr">
        <is>
          <t>2026-06-17 08:35:00</t>
        </is>
      </c>
      <c r="B31" s="54" t="inlineStr">
        <is>
          <t>Mary Wanjiku Pharmacy</t>
        </is>
      </c>
      <c r="C31" s="54" t="inlineStr">
        <is>
          <t>2026-06-17</t>
        </is>
      </c>
      <c r="D31" s="54" t="inlineStr">
        <is>
          <t>Jane Muthoni</t>
        </is>
      </c>
      <c r="E31" s="54" t="inlineStr">
        <is>
          <t>Amlodipine 5mg tabs</t>
        </is>
      </c>
      <c r="F31" s="54" t="inlineStr">
        <is>
          <t>Dispensed</t>
        </is>
      </c>
      <c r="G31" s="54" t="n">
        <v>70</v>
      </c>
      <c r="H31" s="54" t="inlineStr"/>
      <c r="I31" s="54" t="inlineStr"/>
    </row>
    <row r="32" ht="16" customHeight="1">
      <c r="A32" s="53" t="inlineStr">
        <is>
          <t>2026-06-24 08:38:00</t>
        </is>
      </c>
      <c r="B32" s="53" t="inlineStr">
        <is>
          <t>Mary Wanjiku Pharmacy</t>
        </is>
      </c>
      <c r="C32" s="53" t="inlineStr">
        <is>
          <t>2026-06-24</t>
        </is>
      </c>
      <c r="D32" s="53" t="inlineStr">
        <is>
          <t>Jane Muthoni</t>
        </is>
      </c>
      <c r="E32" s="53" t="inlineStr">
        <is>
          <t>Amlodipine 5mg tabs</t>
        </is>
      </c>
      <c r="F32" s="53" t="inlineStr">
        <is>
          <t>Dispensed</t>
        </is>
      </c>
      <c r="G32" s="53" t="n">
        <v>67</v>
      </c>
      <c r="H32" s="53" t="inlineStr"/>
      <c r="I32" s="53" t="inlineStr"/>
    </row>
    <row r="33" ht="16" customHeight="1">
      <c r="A33" s="54" t="inlineStr">
        <is>
          <t>2026-07-01 08:41:00</t>
        </is>
      </c>
      <c r="B33" s="54" t="inlineStr">
        <is>
          <t>Mary Wanjiku Pharmacy</t>
        </is>
      </c>
      <c r="C33" s="54" t="inlineStr">
        <is>
          <t>2026-07-01</t>
        </is>
      </c>
      <c r="D33" s="54" t="inlineStr">
        <is>
          <t>Jane Muthoni</t>
        </is>
      </c>
      <c r="E33" s="54" t="inlineStr">
        <is>
          <t>Amlodipine 5mg tabs</t>
        </is>
      </c>
      <c r="F33" s="54" t="inlineStr">
        <is>
          <t>Dispensed</t>
        </is>
      </c>
      <c r="G33" s="54" t="n">
        <v>69</v>
      </c>
      <c r="H33" s="54" t="inlineStr"/>
      <c r="I33" s="54" t="inlineStr"/>
    </row>
    <row r="34" ht="16" customHeight="1">
      <c r="A34" s="53" t="inlineStr">
        <is>
          <t>2026-07-08 08:44:00</t>
        </is>
      </c>
      <c r="B34" s="53" t="inlineStr">
        <is>
          <t>Mary Wanjiku Pharmacy</t>
        </is>
      </c>
      <c r="C34" s="53" t="inlineStr">
        <is>
          <t>2026-07-08</t>
        </is>
      </c>
      <c r="D34" s="53" t="inlineStr">
        <is>
          <t>Jane Muthoni</t>
        </is>
      </c>
      <c r="E34" s="53" t="inlineStr">
        <is>
          <t>Amlodipine 5mg tabs</t>
        </is>
      </c>
      <c r="F34" s="53" t="inlineStr">
        <is>
          <t>Dispensed</t>
        </is>
      </c>
      <c r="G34" s="53" t="n">
        <v>63</v>
      </c>
      <c r="H34" s="53" t="inlineStr"/>
      <c r="I34" s="53" t="inlineStr"/>
    </row>
    <row r="35" ht="16" customHeight="1">
      <c r="A35" s="54" t="inlineStr">
        <is>
          <t>2026-07-15 08:47:00</t>
        </is>
      </c>
      <c r="B35" s="54" t="inlineStr">
        <is>
          <t>Mary Wanjiku Pharmacy</t>
        </is>
      </c>
      <c r="C35" s="54" t="inlineStr">
        <is>
          <t>2026-07-15</t>
        </is>
      </c>
      <c r="D35" s="54" t="inlineStr">
        <is>
          <t>Jane Muthoni</t>
        </is>
      </c>
      <c r="E35" s="54" t="inlineStr">
        <is>
          <t>Amlodipine 5mg tabs</t>
        </is>
      </c>
      <c r="F35" s="54" t="inlineStr">
        <is>
          <t>Dispensed</t>
        </is>
      </c>
      <c r="G35" s="54" t="n">
        <v>71</v>
      </c>
      <c r="H35" s="54" t="inlineStr"/>
      <c r="I35" s="54" t="inlineStr"/>
    </row>
    <row r="36" ht="16" customHeight="1">
      <c r="A36" s="53" t="inlineStr">
        <is>
          <t>2026-06-08 08:50:00</t>
        </is>
      </c>
      <c r="B36" s="53" t="inlineStr">
        <is>
          <t>Mary Wanjiku Pharmacy</t>
        </is>
      </c>
      <c r="C36" s="53" t="inlineStr">
        <is>
          <t>2026-06-08</t>
        </is>
      </c>
      <c r="D36" s="53" t="inlineStr">
        <is>
          <t>Peter Kamau</t>
        </is>
      </c>
      <c r="E36" s="53" t="inlineStr">
        <is>
          <t>Ibuprofen 400mg tabs</t>
        </is>
      </c>
      <c r="F36" s="53" t="inlineStr">
        <is>
          <t>Received</t>
        </is>
      </c>
      <c r="G36" s="53" t="n">
        <v>150</v>
      </c>
      <c r="H36" s="53" t="inlineStr">
        <is>
          <t>2028-03-14</t>
        </is>
      </c>
      <c r="I36" s="53" t="inlineStr"/>
    </row>
    <row r="37" ht="16" customHeight="1">
      <c r="A37" s="54" t="inlineStr">
        <is>
          <t>2026-06-10 08:53:00</t>
        </is>
      </c>
      <c r="B37" s="54" t="inlineStr">
        <is>
          <t>Mary Wanjiku Pharmacy</t>
        </is>
      </c>
      <c r="C37" s="54" t="inlineStr">
        <is>
          <t>2026-06-10</t>
        </is>
      </c>
      <c r="D37" s="54" t="inlineStr">
        <is>
          <t>Peter Kamau</t>
        </is>
      </c>
      <c r="E37" s="54" t="inlineStr">
        <is>
          <t>Ibuprofen 400mg tabs</t>
        </is>
      </c>
      <c r="F37" s="54" t="inlineStr">
        <is>
          <t>Dispensed</t>
        </is>
      </c>
      <c r="G37" s="54" t="n">
        <v>88</v>
      </c>
      <c r="H37" s="54" t="inlineStr"/>
      <c r="I37" s="54" t="inlineStr"/>
    </row>
    <row r="38" ht="16" customHeight="1">
      <c r="A38" s="53" t="inlineStr">
        <is>
          <t>2026-06-17 08:56:00</t>
        </is>
      </c>
      <c r="B38" s="53" t="inlineStr">
        <is>
          <t>Mary Wanjiku Pharmacy</t>
        </is>
      </c>
      <c r="C38" s="53" t="inlineStr">
        <is>
          <t>2026-06-17</t>
        </is>
      </c>
      <c r="D38" s="53" t="inlineStr">
        <is>
          <t>Peter Kamau</t>
        </is>
      </c>
      <c r="E38" s="53" t="inlineStr">
        <is>
          <t>Ibuprofen 400mg tabs</t>
        </is>
      </c>
      <c r="F38" s="53" t="inlineStr">
        <is>
          <t>Dispensed</t>
        </is>
      </c>
      <c r="G38" s="53" t="n">
        <v>95</v>
      </c>
      <c r="H38" s="53" t="inlineStr"/>
      <c r="I38" s="53" t="inlineStr"/>
    </row>
    <row r="39" ht="16" customHeight="1">
      <c r="A39" s="54" t="inlineStr">
        <is>
          <t>2026-06-24 08:01:00</t>
        </is>
      </c>
      <c r="B39" s="54" t="inlineStr">
        <is>
          <t>Mary Wanjiku Pharmacy</t>
        </is>
      </c>
      <c r="C39" s="54" t="inlineStr">
        <is>
          <t>2026-06-24</t>
        </is>
      </c>
      <c r="D39" s="54" t="inlineStr">
        <is>
          <t>Peter Kamau</t>
        </is>
      </c>
      <c r="E39" s="54" t="inlineStr">
        <is>
          <t>Ibuprofen 400mg tabs</t>
        </is>
      </c>
      <c r="F39" s="54" t="inlineStr">
        <is>
          <t>Dispensed</t>
        </is>
      </c>
      <c r="G39" s="54" t="n">
        <v>90</v>
      </c>
      <c r="H39" s="54" t="inlineStr"/>
      <c r="I39" s="54" t="inlineStr"/>
    </row>
    <row r="40" ht="16" customHeight="1">
      <c r="A40" s="53" t="inlineStr">
        <is>
          <t>2026-07-01 08:04:00</t>
        </is>
      </c>
      <c r="B40" s="53" t="inlineStr">
        <is>
          <t>Mary Wanjiku Pharmacy</t>
        </is>
      </c>
      <c r="C40" s="53" t="inlineStr">
        <is>
          <t>2026-07-01</t>
        </is>
      </c>
      <c r="D40" s="53" t="inlineStr">
        <is>
          <t>Peter Kamau</t>
        </is>
      </c>
      <c r="E40" s="53" t="inlineStr">
        <is>
          <t>Ibuprofen 400mg tabs</t>
        </is>
      </c>
      <c r="F40" s="53" t="inlineStr">
        <is>
          <t>Dispensed</t>
        </is>
      </c>
      <c r="G40" s="53" t="n">
        <v>92</v>
      </c>
      <c r="H40" s="53" t="inlineStr"/>
      <c r="I40" s="53" t="inlineStr"/>
    </row>
    <row r="41" ht="16" customHeight="1">
      <c r="A41" s="54" t="inlineStr">
        <is>
          <t>2026-06-23 08:07:00</t>
        </is>
      </c>
      <c r="B41" s="54" t="inlineStr">
        <is>
          <t>Mary Wanjiku Pharmacy</t>
        </is>
      </c>
      <c r="C41" s="54" t="inlineStr">
        <is>
          <t>2026-06-23</t>
        </is>
      </c>
      <c r="D41" s="54" t="inlineStr">
        <is>
          <t>Jane Muthoni</t>
        </is>
      </c>
      <c r="E41" s="54" t="inlineStr">
        <is>
          <t>ORS Sachet</t>
        </is>
      </c>
      <c r="F41" s="54" t="inlineStr">
        <is>
          <t>Received</t>
        </is>
      </c>
      <c r="G41" s="54" t="n">
        <v>200</v>
      </c>
      <c r="H41" s="54" t="inlineStr">
        <is>
          <t>2028-06-22</t>
        </is>
      </c>
      <c r="I41" s="54" t="inlineStr"/>
    </row>
    <row r="42" ht="16" customHeight="1">
      <c r="A42" s="53" t="inlineStr">
        <is>
          <t>2026-06-25 08:10:00</t>
        </is>
      </c>
      <c r="B42" s="53" t="inlineStr">
        <is>
          <t>Mary Wanjiku Pharmacy</t>
        </is>
      </c>
      <c r="C42" s="53" t="inlineStr">
        <is>
          <t>2026-06-25</t>
        </is>
      </c>
      <c r="D42" s="53" t="inlineStr">
        <is>
          <t>Jane Muthoni</t>
        </is>
      </c>
      <c r="E42" s="53" t="inlineStr">
        <is>
          <t>ORS Sachet</t>
        </is>
      </c>
      <c r="F42" s="53" t="inlineStr">
        <is>
          <t>Dispensed</t>
        </is>
      </c>
      <c r="G42" s="53" t="n">
        <v>58</v>
      </c>
      <c r="H42" s="53" t="inlineStr"/>
      <c r="I42" s="53" t="inlineStr"/>
    </row>
    <row r="43" ht="16" customHeight="1">
      <c r="A43" s="54" t="inlineStr">
        <is>
          <t>2026-07-02 08:13:00</t>
        </is>
      </c>
      <c r="B43" s="54" t="inlineStr">
        <is>
          <t>Mary Wanjiku Pharmacy</t>
        </is>
      </c>
      <c r="C43" s="54" t="inlineStr">
        <is>
          <t>2026-07-02</t>
        </is>
      </c>
      <c r="D43" s="54" t="inlineStr">
        <is>
          <t>Jane Muthoni</t>
        </is>
      </c>
      <c r="E43" s="54" t="inlineStr">
        <is>
          <t>ORS Sachet</t>
        </is>
      </c>
      <c r="F43" s="54" t="inlineStr">
        <is>
          <t>Dispensed</t>
        </is>
      </c>
      <c r="G43" s="54" t="n">
        <v>62</v>
      </c>
      <c r="H43" s="54" t="inlineStr"/>
      <c r="I43" s="54" t="inlineStr"/>
    </row>
    <row r="44" ht="16" customHeight="1">
      <c r="A44" s="53" t="inlineStr">
        <is>
          <t>2026-07-09 08:16:00</t>
        </is>
      </c>
      <c r="B44" s="53" t="inlineStr">
        <is>
          <t>Mary Wanjiku Pharmacy</t>
        </is>
      </c>
      <c r="C44" s="53" t="inlineStr">
        <is>
          <t>2026-07-09</t>
        </is>
      </c>
      <c r="D44" s="53" t="inlineStr">
        <is>
          <t>Jane Muthoni</t>
        </is>
      </c>
      <c r="E44" s="53" t="inlineStr">
        <is>
          <t>ORS Sachet</t>
        </is>
      </c>
      <c r="F44" s="53" t="inlineStr">
        <is>
          <t>Dispensed</t>
        </is>
      </c>
      <c r="G44" s="53" t="n">
        <v>60</v>
      </c>
      <c r="H44" s="53" t="inlineStr"/>
      <c r="I44" s="53" t="inlineStr"/>
    </row>
    <row r="45" ht="16" customHeight="1">
      <c r="A45" s="54" t="inlineStr">
        <is>
          <t>2026-07-16 08:19:00</t>
        </is>
      </c>
      <c r="B45" s="54" t="inlineStr">
        <is>
          <t>Mary Wanjiku Pharmacy</t>
        </is>
      </c>
      <c r="C45" s="54" t="inlineStr">
        <is>
          <t>2026-07-16</t>
        </is>
      </c>
      <c r="D45" s="54" t="inlineStr">
        <is>
          <t>Jane Muthoni</t>
        </is>
      </c>
      <c r="E45" s="54" t="inlineStr">
        <is>
          <t>ORS Sachet</t>
        </is>
      </c>
      <c r="F45" s="54" t="inlineStr">
        <is>
          <t>Dispensed</t>
        </is>
      </c>
      <c r="G45" s="54" t="n">
        <v>55</v>
      </c>
      <c r="H45" s="54" t="inlineStr"/>
      <c r="I45" s="54" t="inlineStr"/>
    </row>
    <row r="46" ht="16" customHeight="1">
      <c r="A46" s="53" t="inlineStr">
        <is>
          <t>2026-05-14 08:22:00</t>
        </is>
      </c>
      <c r="B46" s="53" t="inlineStr">
        <is>
          <t>Mary Wanjiku Pharmacy</t>
        </is>
      </c>
      <c r="C46" s="53" t="inlineStr">
        <is>
          <t>2026-05-14</t>
        </is>
      </c>
      <c r="D46" s="53" t="inlineStr">
        <is>
          <t>Peter Kamau</t>
        </is>
      </c>
      <c r="E46" s="53" t="inlineStr">
        <is>
          <t>Fluconazole 150mg caps</t>
        </is>
      </c>
      <c r="F46" s="53" t="inlineStr">
        <is>
          <t>Received</t>
        </is>
      </c>
      <c r="G46" s="53" t="n">
        <v>50</v>
      </c>
      <c r="H46" s="53" t="inlineStr">
        <is>
          <t>2026-07-18</t>
        </is>
      </c>
      <c r="I46" s="53" t="inlineStr">
        <is>
          <t>OLD BATCH — check expiry</t>
        </is>
      </c>
    </row>
    <row r="47" ht="16" customHeight="1">
      <c r="A47" s="54" t="inlineStr">
        <is>
          <t>2026-05-16 08:25:00</t>
        </is>
      </c>
      <c r="B47" s="54" t="inlineStr">
        <is>
          <t>Mary Wanjiku Pharmacy</t>
        </is>
      </c>
      <c r="C47" s="54" t="inlineStr">
        <is>
          <t>2026-05-16</t>
        </is>
      </c>
      <c r="D47" s="54" t="inlineStr">
        <is>
          <t>Peter Kamau</t>
        </is>
      </c>
      <c r="E47" s="54" t="inlineStr">
        <is>
          <t>Fluconazole 150mg caps</t>
        </is>
      </c>
      <c r="F47" s="54" t="inlineStr">
        <is>
          <t>Dispensed</t>
        </is>
      </c>
      <c r="G47" s="54" t="n">
        <v>18</v>
      </c>
      <c r="H47" s="54" t="inlineStr"/>
      <c r="I47" s="54" t="inlineStr"/>
    </row>
    <row r="48" ht="16" customHeight="1">
      <c r="A48" s="53" t="inlineStr">
        <is>
          <t>2026-05-24 08:28:00</t>
        </is>
      </c>
      <c r="B48" s="53" t="inlineStr">
        <is>
          <t>Mary Wanjiku Pharmacy</t>
        </is>
      </c>
      <c r="C48" s="53" t="inlineStr">
        <is>
          <t>2026-05-24</t>
        </is>
      </c>
      <c r="D48" s="53" t="inlineStr">
        <is>
          <t>Peter Kamau</t>
        </is>
      </c>
      <c r="E48" s="53" t="inlineStr">
        <is>
          <t>Fluconazole 150mg caps</t>
        </is>
      </c>
      <c r="F48" s="53" t="inlineStr">
        <is>
          <t>Dispensed</t>
        </is>
      </c>
      <c r="G48" s="53" t="n">
        <v>15</v>
      </c>
      <c r="H48" s="53" t="inlineStr"/>
      <c r="I48" s="53" t="inlineStr"/>
    </row>
    <row r="49" ht="16" customHeight="1">
      <c r="A49" s="54" t="inlineStr">
        <is>
          <t>2026-07-20 08:31:00</t>
        </is>
      </c>
      <c r="B49" s="54" t="inlineStr">
        <is>
          <t>Mary Wanjiku Pharmacy</t>
        </is>
      </c>
      <c r="C49" s="54" t="inlineStr">
        <is>
          <t>2026-07-20</t>
        </is>
      </c>
      <c r="D49" s="54" t="inlineStr">
        <is>
          <t>Peter Kamau</t>
        </is>
      </c>
      <c r="E49" s="54" t="inlineStr">
        <is>
          <t>Fluconazole 150mg caps</t>
        </is>
      </c>
      <c r="F49" s="54" t="inlineStr">
        <is>
          <t>Expired</t>
        </is>
      </c>
      <c r="G49" s="54" t="n">
        <v>17</v>
      </c>
      <c r="H49" s="54" t="inlineStr"/>
      <c r="I49" s="54" t="inlineStr">
        <is>
          <t>Batch expired — removed</t>
        </is>
      </c>
    </row>
    <row r="50" ht="16" customHeight="1">
      <c r="A50" s="53" t="inlineStr">
        <is>
          <t>2026-06-13 08:34:00</t>
        </is>
      </c>
      <c r="B50" s="53" t="inlineStr">
        <is>
          <t>Mary Wanjiku Pharmacy</t>
        </is>
      </c>
      <c r="C50" s="53" t="inlineStr">
        <is>
          <t>2026-06-13</t>
        </is>
      </c>
      <c r="D50" s="53" t="inlineStr">
        <is>
          <t>Peter Kamau</t>
        </is>
      </c>
      <c r="E50" s="53" t="inlineStr">
        <is>
          <t>Amoxicillin 500mg caps</t>
        </is>
      </c>
      <c r="F50" s="53" t="inlineStr">
        <is>
          <t>Received</t>
        </is>
      </c>
      <c r="G50" s="53" t="n">
        <v>200</v>
      </c>
      <c r="H50" s="53" t="inlineStr">
        <is>
          <t>2027-08-27</t>
        </is>
      </c>
      <c r="I50" s="53" t="inlineStr"/>
    </row>
    <row r="51" ht="16" customHeight="1">
      <c r="A51" s="54" t="inlineStr">
        <is>
          <t>2026-06-15 08:37:00</t>
        </is>
      </c>
      <c r="B51" s="54" t="inlineStr">
        <is>
          <t>Mary Wanjiku Pharmacy</t>
        </is>
      </c>
      <c r="C51" s="54" t="inlineStr">
        <is>
          <t>2026-06-15</t>
        </is>
      </c>
      <c r="D51" s="54" t="inlineStr">
        <is>
          <t>Peter Kamau</t>
        </is>
      </c>
      <c r="E51" s="54" t="inlineStr">
        <is>
          <t>Amoxicillin 500mg caps</t>
        </is>
      </c>
      <c r="F51" s="54" t="inlineStr">
        <is>
          <t>Dispensed</t>
        </is>
      </c>
      <c r="G51" s="54" t="n">
        <v>95</v>
      </c>
      <c r="H51" s="54" t="inlineStr"/>
      <c r="I51" s="54" t="inlineStr"/>
    </row>
    <row r="52" ht="16" customHeight="1">
      <c r="A52" s="53" t="inlineStr">
        <is>
          <t>2026-06-29 08:40:00</t>
        </is>
      </c>
      <c r="B52" s="53" t="inlineStr">
        <is>
          <t>Mary Wanjiku Pharmacy</t>
        </is>
      </c>
      <c r="C52" s="53" t="inlineStr">
        <is>
          <t>2026-06-29</t>
        </is>
      </c>
      <c r="D52" s="53" t="inlineStr">
        <is>
          <t>Peter Kamau</t>
        </is>
      </c>
      <c r="E52" s="53" t="inlineStr">
        <is>
          <t>Amoxicillin 500mg caps</t>
        </is>
      </c>
      <c r="F52" s="53" t="inlineStr">
        <is>
          <t>Dispensed</t>
        </is>
      </c>
      <c r="G52" s="53" t="n">
        <v>98</v>
      </c>
      <c r="H52" s="53" t="inlineStr"/>
      <c r="I52" s="53" t="inlineStr"/>
    </row>
    <row r="53" ht="16" customHeight="1">
      <c r="A53" s="54" t="inlineStr">
        <is>
          <t>2026-07-13 08:43:00</t>
        </is>
      </c>
      <c r="B53" s="54" t="inlineStr">
        <is>
          <t>Mary Wanjiku Pharmacy</t>
        </is>
      </c>
      <c r="C53" s="54" t="inlineStr">
        <is>
          <t>2026-07-13</t>
        </is>
      </c>
      <c r="D53" s="54" t="inlineStr">
        <is>
          <t>Peter Kamau</t>
        </is>
      </c>
      <c r="E53" s="54" t="inlineStr">
        <is>
          <t>Amoxicillin 500mg caps</t>
        </is>
      </c>
      <c r="F53" s="54" t="inlineStr">
        <is>
          <t>Dispensed</t>
        </is>
      </c>
      <c r="G53" s="54" t="n">
        <v>92</v>
      </c>
      <c r="H53" s="54" t="inlineStr"/>
      <c r="I53" s="54" t="inlineStr"/>
    </row>
    <row r="54" ht="16" customHeight="1">
      <c r="A54" s="53" t="inlineStr">
        <is>
          <t>2026-06-18 08:46:00</t>
        </is>
      </c>
      <c r="B54" s="53" t="inlineStr">
        <is>
          <t>Mary Wanjiku Pharmacy</t>
        </is>
      </c>
      <c r="C54" s="53" t="inlineStr">
        <is>
          <t>2026-06-18</t>
        </is>
      </c>
      <c r="D54" s="53" t="inlineStr">
        <is>
          <t>Jane Muthoni</t>
        </is>
      </c>
      <c r="E54" s="53" t="inlineStr">
        <is>
          <t>Ciprofloxacin 500mg tabs</t>
        </is>
      </c>
      <c r="F54" s="53" t="inlineStr">
        <is>
          <t>Received</t>
        </is>
      </c>
      <c r="G54" s="53" t="n">
        <v>120</v>
      </c>
      <c r="H54" s="53" t="inlineStr">
        <is>
          <t>2027-12-05</t>
        </is>
      </c>
      <c r="I54" s="53" t="inlineStr"/>
    </row>
    <row r="55" ht="16" customHeight="1">
      <c r="A55" s="54" t="inlineStr">
        <is>
          <t>2026-06-20 08:49:00</t>
        </is>
      </c>
      <c r="B55" s="54" t="inlineStr">
        <is>
          <t>Mary Wanjiku Pharmacy</t>
        </is>
      </c>
      <c r="C55" s="54" t="inlineStr">
        <is>
          <t>2026-06-20</t>
        </is>
      </c>
      <c r="D55" s="54" t="inlineStr">
        <is>
          <t>Jane Muthoni</t>
        </is>
      </c>
      <c r="E55" s="54" t="inlineStr">
        <is>
          <t>Ciprofloxacin 500mg tabs</t>
        </is>
      </c>
      <c r="F55" s="54" t="inlineStr">
        <is>
          <t>Dispensed</t>
        </is>
      </c>
      <c r="G55" s="54" t="n">
        <v>55</v>
      </c>
      <c r="H55" s="54" t="inlineStr"/>
      <c r="I55" s="54" t="inlineStr"/>
    </row>
    <row r="56" ht="16" customHeight="1">
      <c r="A56" s="53" t="inlineStr">
        <is>
          <t>2026-07-04 08:52:00</t>
        </is>
      </c>
      <c r="B56" s="53" t="inlineStr">
        <is>
          <t>Mary Wanjiku Pharmacy</t>
        </is>
      </c>
      <c r="C56" s="53" t="inlineStr">
        <is>
          <t>2026-07-04</t>
        </is>
      </c>
      <c r="D56" s="53" t="inlineStr">
        <is>
          <t>Jane Muthoni</t>
        </is>
      </c>
      <c r="E56" s="53" t="inlineStr">
        <is>
          <t>Ciprofloxacin 500mg tabs</t>
        </is>
      </c>
      <c r="F56" s="53" t="inlineStr">
        <is>
          <t>Dispensed</t>
        </is>
      </c>
      <c r="G56" s="53" t="n">
        <v>58</v>
      </c>
      <c r="H56" s="53" t="inlineStr"/>
      <c r="I56" s="53" t="inlineStr"/>
    </row>
    <row r="57" ht="16" customHeight="1">
      <c r="A57" s="54" t="inlineStr">
        <is>
          <t>2026-06-25 08:55:00</t>
        </is>
      </c>
      <c r="B57" s="54" t="inlineStr">
        <is>
          <t>Mary Wanjiku Pharmacy</t>
        </is>
      </c>
      <c r="C57" s="54" t="inlineStr">
        <is>
          <t>2026-06-25</t>
        </is>
      </c>
      <c r="D57" s="54" t="inlineStr">
        <is>
          <t>Peter Kamau</t>
        </is>
      </c>
      <c r="E57" s="54" t="inlineStr">
        <is>
          <t>Omeprazole 20mg caps</t>
        </is>
      </c>
      <c r="F57" s="54" t="inlineStr">
        <is>
          <t>Received</t>
        </is>
      </c>
      <c r="G57" s="54" t="n">
        <v>200</v>
      </c>
      <c r="H57" s="54" t="inlineStr">
        <is>
          <t>2027-10-16</t>
        </is>
      </c>
      <c r="I57" s="54" t="inlineStr"/>
    </row>
    <row r="58" ht="16" customHeight="1">
      <c r="A58" s="53" t="inlineStr">
        <is>
          <t>2026-06-27 08:00:00</t>
        </is>
      </c>
      <c r="B58" s="53" t="inlineStr">
        <is>
          <t>Mary Wanjiku Pharmacy</t>
        </is>
      </c>
      <c r="C58" s="53" t="inlineStr">
        <is>
          <t>2026-06-27</t>
        </is>
      </c>
      <c r="D58" s="53" t="inlineStr">
        <is>
          <t>Peter Kamau</t>
        </is>
      </c>
      <c r="E58" s="53" t="inlineStr">
        <is>
          <t>Omeprazole 20mg caps</t>
        </is>
      </c>
      <c r="F58" s="53" t="inlineStr">
        <is>
          <t>Dispensed</t>
        </is>
      </c>
      <c r="G58" s="53" t="n">
        <v>78</v>
      </c>
      <c r="H58" s="53" t="inlineStr"/>
      <c r="I58" s="53" t="inlineStr"/>
    </row>
    <row r="59" ht="16" customHeight="1">
      <c r="A59" s="54" t="inlineStr">
        <is>
          <t>2026-07-11 08:03:00</t>
        </is>
      </c>
      <c r="B59" s="54" t="inlineStr">
        <is>
          <t>Mary Wanjiku Pharmacy</t>
        </is>
      </c>
      <c r="C59" s="54" t="inlineStr">
        <is>
          <t>2026-07-11</t>
        </is>
      </c>
      <c r="D59" s="54" t="inlineStr">
        <is>
          <t>Peter Kamau</t>
        </is>
      </c>
      <c r="E59" s="54" t="inlineStr">
        <is>
          <t>Omeprazole 20mg caps</t>
        </is>
      </c>
      <c r="F59" s="54" t="inlineStr">
        <is>
          <t>Dispensed</t>
        </is>
      </c>
      <c r="G59" s="54" t="n">
        <v>80</v>
      </c>
      <c r="H59" s="54" t="inlineStr"/>
      <c r="I59" s="54" t="inlineStr"/>
    </row>
    <row r="60" ht="16" customHeight="1">
      <c r="A60" s="53" t="inlineStr">
        <is>
          <t>2026-06-08 08:06:00</t>
        </is>
      </c>
      <c r="B60" s="53" t="inlineStr">
        <is>
          <t>Mary Wanjiku Pharmacy</t>
        </is>
      </c>
      <c r="C60" s="53" t="inlineStr">
        <is>
          <t>2026-06-08</t>
        </is>
      </c>
      <c r="D60" s="53" t="inlineStr">
        <is>
          <t>Jane Muthoni</t>
        </is>
      </c>
      <c r="E60" s="53" t="inlineStr">
        <is>
          <t>Salbutamol 100mcg inhaler</t>
        </is>
      </c>
      <c r="F60" s="53" t="inlineStr">
        <is>
          <t>Received</t>
        </is>
      </c>
      <c r="G60" s="53" t="n">
        <v>20</v>
      </c>
      <c r="H60" s="53" t="inlineStr">
        <is>
          <t>2028-06-22</t>
        </is>
      </c>
      <c r="I60" s="53" t="inlineStr"/>
    </row>
    <row r="61" ht="16" customHeight="1">
      <c r="A61" s="54" t="inlineStr">
        <is>
          <t>2026-06-13 08:09:00</t>
        </is>
      </c>
      <c r="B61" s="54" t="inlineStr">
        <is>
          <t>Mary Wanjiku Pharmacy</t>
        </is>
      </c>
      <c r="C61" s="54" t="inlineStr">
        <is>
          <t>2026-06-13</t>
        </is>
      </c>
      <c r="D61" s="54" t="inlineStr">
        <is>
          <t>Jane Muthoni</t>
        </is>
      </c>
      <c r="E61" s="54" t="inlineStr">
        <is>
          <t>Salbutamol 100mcg inhaler</t>
        </is>
      </c>
      <c r="F61" s="54" t="inlineStr">
        <is>
          <t>Dispensed</t>
        </is>
      </c>
      <c r="G61" s="54" t="n">
        <v>3</v>
      </c>
      <c r="H61" s="54" t="inlineStr"/>
      <c r="I61" s="54" t="inlineStr"/>
    </row>
    <row r="62" ht="16" customHeight="1">
      <c r="A62" s="53" t="inlineStr">
        <is>
          <t>2026-06-28 08:12:00</t>
        </is>
      </c>
      <c r="B62" s="53" t="inlineStr">
        <is>
          <t>Mary Wanjiku Pharmacy</t>
        </is>
      </c>
      <c r="C62" s="53" t="inlineStr">
        <is>
          <t>2026-06-28</t>
        </is>
      </c>
      <c r="D62" s="53" t="inlineStr">
        <is>
          <t>Jane Muthoni</t>
        </is>
      </c>
      <c r="E62" s="53" t="inlineStr">
        <is>
          <t>Salbutamol 100mcg inhaler</t>
        </is>
      </c>
      <c r="F62" s="53" t="inlineStr">
        <is>
          <t>Dispensed</t>
        </is>
      </c>
      <c r="G62" s="53" t="n">
        <v>4</v>
      </c>
      <c r="H62" s="53" t="inlineStr"/>
      <c r="I62" s="53" t="inlineStr"/>
    </row>
    <row r="63" ht="16" customHeight="1">
      <c r="A63" s="54" t="inlineStr">
        <is>
          <t>2026-07-13 08:15:00</t>
        </is>
      </c>
      <c r="B63" s="54" t="inlineStr">
        <is>
          <t>Mary Wanjiku Pharmacy</t>
        </is>
      </c>
      <c r="C63" s="54" t="inlineStr">
        <is>
          <t>2026-07-13</t>
        </is>
      </c>
      <c r="D63" s="54" t="inlineStr">
        <is>
          <t>Jane Muthoni</t>
        </is>
      </c>
      <c r="E63" s="54" t="inlineStr">
        <is>
          <t>Salbutamol 100mcg inhaler</t>
        </is>
      </c>
      <c r="F63" s="54" t="inlineStr">
        <is>
          <t>Dispensed</t>
        </is>
      </c>
      <c r="G63" s="54" t="n">
        <v>3</v>
      </c>
      <c r="H63" s="54" t="inlineStr"/>
      <c r="I63" s="54" t="inlineStr"/>
    </row>
    <row r="64" ht="16" customHeight="1">
      <c r="A64" s="53" t="inlineStr">
        <is>
          <t>2026-06-13 08:18:00</t>
        </is>
      </c>
      <c r="B64" s="53" t="inlineStr">
        <is>
          <t>Mary Wanjiku Pharmacy</t>
        </is>
      </c>
      <c r="C64" s="53" t="inlineStr">
        <is>
          <t>2026-06-13</t>
        </is>
      </c>
      <c r="D64" s="53" t="inlineStr">
        <is>
          <t>Jane Muthoni</t>
        </is>
      </c>
      <c r="E64" s="53" t="inlineStr">
        <is>
          <t>Losartan 50mg tabs</t>
        </is>
      </c>
      <c r="F64" s="53" t="inlineStr">
        <is>
          <t>Received</t>
        </is>
      </c>
      <c r="G64" s="53" t="n">
        <v>240</v>
      </c>
      <c r="H64" s="53" t="inlineStr">
        <is>
          <t>2027-12-05</t>
        </is>
      </c>
      <c r="I64" s="53" t="inlineStr"/>
    </row>
    <row r="65" ht="16" customHeight="1">
      <c r="A65" s="54" t="inlineStr">
        <is>
          <t>2026-06-15 08:21:00</t>
        </is>
      </c>
      <c r="B65" s="54" t="inlineStr">
        <is>
          <t>Mary Wanjiku Pharmacy</t>
        </is>
      </c>
      <c r="C65" s="54" t="inlineStr">
        <is>
          <t>2026-06-15</t>
        </is>
      </c>
      <c r="D65" s="54" t="inlineStr">
        <is>
          <t>Jane Muthoni</t>
        </is>
      </c>
      <c r="E65" s="54" t="inlineStr">
        <is>
          <t>Losartan 50mg tabs</t>
        </is>
      </c>
      <c r="F65" s="54" t="inlineStr">
        <is>
          <t>Dispensed</t>
        </is>
      </c>
      <c r="G65" s="54" t="n">
        <v>58</v>
      </c>
      <c r="H65" s="54" t="inlineStr"/>
      <c r="I65" s="54" t="inlineStr"/>
    </row>
    <row r="66" ht="16" customHeight="1">
      <c r="A66" s="53" t="inlineStr">
        <is>
          <t>2026-06-29 08:24:00</t>
        </is>
      </c>
      <c r="B66" s="53" t="inlineStr">
        <is>
          <t>Mary Wanjiku Pharmacy</t>
        </is>
      </c>
      <c r="C66" s="53" t="inlineStr">
        <is>
          <t>2026-06-29</t>
        </is>
      </c>
      <c r="D66" s="53" t="inlineStr">
        <is>
          <t>Jane Muthoni</t>
        </is>
      </c>
      <c r="E66" s="53" t="inlineStr">
        <is>
          <t>Losartan 50mg tabs</t>
        </is>
      </c>
      <c r="F66" s="53" t="inlineStr">
        <is>
          <t>Dispensed</t>
        </is>
      </c>
      <c r="G66" s="53" t="n">
        <v>62</v>
      </c>
      <c r="H66" s="53" t="inlineStr"/>
      <c r="I66" s="53" t="inlineStr"/>
    </row>
    <row r="67" ht="16" customHeight="1">
      <c r="A67" s="54" t="inlineStr">
        <is>
          <t>2026-07-13 08:27:00</t>
        </is>
      </c>
      <c r="B67" s="54" t="inlineStr">
        <is>
          <t>Mary Wanjiku Pharmacy</t>
        </is>
      </c>
      <c r="C67" s="54" t="inlineStr">
        <is>
          <t>2026-07-13</t>
        </is>
      </c>
      <c r="D67" s="54" t="inlineStr">
        <is>
          <t>Jane Muthoni</t>
        </is>
      </c>
      <c r="E67" s="54" t="inlineStr">
        <is>
          <t>Losartan 50mg tabs</t>
        </is>
      </c>
      <c r="F67" s="54" t="inlineStr">
        <is>
          <t>Dispensed</t>
        </is>
      </c>
      <c r="G67" s="54" t="n">
        <v>60</v>
      </c>
      <c r="H67" s="54" t="inlineStr"/>
      <c r="I67" s="54" t="inlineStr"/>
    </row>
    <row r="68" ht="16" customHeight="1">
      <c r="A68" s="53" t="inlineStr">
        <is>
          <t>2026-06-25 08:30:00</t>
        </is>
      </c>
      <c r="B68" s="53" t="inlineStr">
        <is>
          <t>Mary Wanjiku Pharmacy</t>
        </is>
      </c>
      <c r="C68" s="53" t="inlineStr">
        <is>
          <t>2026-06-25</t>
        </is>
      </c>
      <c r="D68" s="53" t="inlineStr">
        <is>
          <t>Peter Kamau</t>
        </is>
      </c>
      <c r="E68" s="53" t="inlineStr">
        <is>
          <t>Artemether-Lumefantrine 20/120mg</t>
        </is>
      </c>
      <c r="F68" s="53" t="inlineStr">
        <is>
          <t>Received</t>
        </is>
      </c>
      <c r="G68" s="53" t="n">
        <v>120</v>
      </c>
      <c r="H68" s="53" t="inlineStr">
        <is>
          <t>2027-08-27</t>
        </is>
      </c>
      <c r="I68" s="53" t="inlineStr"/>
    </row>
    <row r="69" ht="16" customHeight="1">
      <c r="A69" s="54" t="inlineStr">
        <is>
          <t>2026-06-27 08:33:00</t>
        </is>
      </c>
      <c r="B69" s="54" t="inlineStr">
        <is>
          <t>Mary Wanjiku Pharmacy</t>
        </is>
      </c>
      <c r="C69" s="54" t="inlineStr">
        <is>
          <t>2026-06-27</t>
        </is>
      </c>
      <c r="D69" s="54" t="inlineStr">
        <is>
          <t>Peter Kamau</t>
        </is>
      </c>
      <c r="E69" s="54" t="inlineStr">
        <is>
          <t>Artemether-Lumefantrine 20/120mg</t>
        </is>
      </c>
      <c r="F69" s="54" t="inlineStr">
        <is>
          <t>Dispensed</t>
        </is>
      </c>
      <c r="G69" s="54" t="n">
        <v>38</v>
      </c>
      <c r="H69" s="54" t="inlineStr"/>
      <c r="I69" s="54" t="inlineStr"/>
    </row>
    <row r="70" ht="16" customHeight="1">
      <c r="A70" s="53" t="inlineStr">
        <is>
          <t>2026-07-04 08:36:00</t>
        </is>
      </c>
      <c r="B70" s="53" t="inlineStr">
        <is>
          <t>Mary Wanjiku Pharmacy</t>
        </is>
      </c>
      <c r="C70" s="53" t="inlineStr">
        <is>
          <t>2026-07-04</t>
        </is>
      </c>
      <c r="D70" s="53" t="inlineStr">
        <is>
          <t>Peter Kamau</t>
        </is>
      </c>
      <c r="E70" s="53" t="inlineStr">
        <is>
          <t>Artemether-Lumefantrine 20/120mg</t>
        </is>
      </c>
      <c r="F70" s="53" t="inlineStr">
        <is>
          <t>Dispensed</t>
        </is>
      </c>
      <c r="G70" s="53" t="n">
        <v>42</v>
      </c>
      <c r="H70" s="53" t="inlineStr"/>
      <c r="I70" s="53" t="inlineStr"/>
    </row>
    <row r="71" ht="16" customHeight="1">
      <c r="A71" s="54" t="inlineStr">
        <is>
          <t>2026-07-11 08:39:00</t>
        </is>
      </c>
      <c r="B71" s="54" t="inlineStr">
        <is>
          <t>Mary Wanjiku Pharmacy</t>
        </is>
      </c>
      <c r="C71" s="54" t="inlineStr">
        <is>
          <t>2026-07-11</t>
        </is>
      </c>
      <c r="D71" s="54" t="inlineStr">
        <is>
          <t>Peter Kamau</t>
        </is>
      </c>
      <c r="E71" s="54" t="inlineStr">
        <is>
          <t>Artemether-Lumefantrine 20/120mg</t>
        </is>
      </c>
      <c r="F71" s="54" t="inlineStr">
        <is>
          <t>Dispensed</t>
        </is>
      </c>
      <c r="G71" s="54" t="n">
        <v>40</v>
      </c>
      <c r="H71" s="54" t="inlineStr"/>
      <c r="I71" s="54" t="inlineStr"/>
    </row>
    <row r="72" ht="16" customHeight="1">
      <c r="A72" s="53" t="inlineStr">
        <is>
          <t>2026-07-18 08:42:00</t>
        </is>
      </c>
      <c r="B72" s="53" t="inlineStr">
        <is>
          <t>Mary Wanjiku Pharmacy</t>
        </is>
      </c>
      <c r="C72" s="53" t="inlineStr">
        <is>
          <t>2026-07-18</t>
        </is>
      </c>
      <c r="D72" s="53" t="inlineStr">
        <is>
          <t>Peter Kamau</t>
        </is>
      </c>
      <c r="E72" s="53" t="inlineStr">
        <is>
          <t>Artemether-Lumefantrine 20/120mg</t>
        </is>
      </c>
      <c r="F72" s="53" t="inlineStr">
        <is>
          <t>Dispensed</t>
        </is>
      </c>
      <c r="G72" s="53" t="n">
        <v>35</v>
      </c>
      <c r="H72" s="53" t="inlineStr"/>
      <c r="I72" s="53" t="inlineStr">
        <is>
          <t>Malaria season</t>
        </is>
      </c>
    </row>
    <row r="73" ht="16" customHeight="1">
      <c r="A73" s="54" t="inlineStr">
        <is>
          <t>2026-07-15 08:45:00</t>
        </is>
      </c>
      <c r="B73" s="54" t="inlineStr">
        <is>
          <t>Mary Wanjiku Pharmacy</t>
        </is>
      </c>
      <c r="C73" s="54" t="inlineStr">
        <is>
          <t>2026-07-15</t>
        </is>
      </c>
      <c r="D73" s="54" t="inlineStr">
        <is>
          <t>Jane Muthoni</t>
        </is>
      </c>
      <c r="E73" s="54" t="inlineStr">
        <is>
          <t>Metronidazole 200mg tabs</t>
        </is>
      </c>
      <c r="F73" s="54" t="inlineStr">
        <is>
          <t>Received</t>
        </is>
      </c>
      <c r="G73" s="54" t="n">
        <v>180</v>
      </c>
      <c r="H73" s="54" t="inlineStr">
        <is>
          <t>2027-12-05</t>
        </is>
      </c>
      <c r="I73" s="54" t="inlineStr"/>
    </row>
    <row r="74" ht="16" customHeight="1">
      <c r="A74" s="53" t="inlineStr">
        <is>
          <t>2026-07-17 08:48:00</t>
        </is>
      </c>
      <c r="B74" s="53" t="inlineStr">
        <is>
          <t>Mary Wanjiku Pharmacy</t>
        </is>
      </c>
      <c r="C74" s="53" t="inlineStr">
        <is>
          <t>2026-07-17</t>
        </is>
      </c>
      <c r="D74" s="53" t="inlineStr">
        <is>
          <t>Jane Muthoni</t>
        </is>
      </c>
      <c r="E74" s="53" t="inlineStr">
        <is>
          <t>Metronidazole 200mg tabs</t>
        </is>
      </c>
      <c r="F74" s="53" t="inlineStr">
        <is>
          <t>Dispensed</t>
        </is>
      </c>
      <c r="G74" s="53" t="n">
        <v>65</v>
      </c>
      <c r="H74" s="53" t="inlineStr"/>
      <c r="I74" s="53" t="inlineStr"/>
    </row>
    <row r="75" ht="16" customHeight="1">
      <c r="A75" s="54" t="inlineStr">
        <is>
          <t>2026-07-17 08:51:00</t>
        </is>
      </c>
      <c r="B75" s="54" t="inlineStr">
        <is>
          <t>Mary Wanjiku Pharmacy</t>
        </is>
      </c>
      <c r="C75" s="54" t="inlineStr">
        <is>
          <t>2026-07-17</t>
        </is>
      </c>
      <c r="D75" s="54" t="inlineStr">
        <is>
          <t>Jane Muthoni</t>
        </is>
      </c>
      <c r="E75" s="54" t="inlineStr">
        <is>
          <t>Metronidazole 200mg tabs</t>
        </is>
      </c>
      <c r="F75" s="54" t="inlineStr">
        <is>
          <t>Returned</t>
        </is>
      </c>
      <c r="G75" s="54" t="n">
        <v>5</v>
      </c>
      <c r="H75" s="54" t="inlineStr"/>
      <c r="I75" s="54" t="inlineStr">
        <is>
          <t>Patient returned 5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2026-07-23T16:08:59Z</dcterms:created>
  <dcterms:modified xmlns:dcterms="http://purl.org/dc/terms/" xmlns:xsi="http://www.w3.org/2001/XMLSchema-instance" xsi:type="dcterms:W3CDTF">2026-07-23T16:09:00Z</dcterms:modified>
</cp:coreProperties>
</file>