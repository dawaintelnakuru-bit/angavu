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  <sheet state="visible" name="Setup" sheetId="2" r:id="rId5"/>
    <sheet state="visible" name="Daily Transactions" sheetId="3" r:id="rId6"/>
    <sheet state="visible" name="Bills &amp; Payments Due" sheetId="4" r:id="rId7"/>
    <sheet state="visible" name="Branch Summary" sheetId="5" r:id="rId8"/>
    <sheet state="visible" name="Supplier Claims" sheetId="6" r:id="rId9"/>
  </sheets>
  <definedNames/>
  <calcPr/>
  <extLst>
    <ext uri="GoogleSheetsCustomDataVersion2">
      <go:sheetsCustomData xmlns:go="http://customooxmlschemas.google.com/" r:id="rId10" roundtripDataChecksum="fZ5v+mXYGCewAGe+40umXsoeHjQfI/thpcSQG2OOiXo="/>
    </ext>
  </extLst>
</workbook>
</file>

<file path=xl/sharedStrings.xml><?xml version="1.0" encoding="utf-8"?>
<sst xmlns="http://schemas.openxmlformats.org/spreadsheetml/2006/main" count="373" uniqueCount="190">
  <si>
    <t>PRINTING MEDIA CO. — FINANCE MANAGEMENT DASHBOARD</t>
  </si>
  <si>
    <t>Live overview of branch income, expenses and net position — updates automatically from Daily Transactions</t>
  </si>
  <si>
    <t>Report Month (0 = All months):</t>
  </si>
  <si>
    <t>&lt;- Enter 1-12 to filter dashboard to a single month, or 0 for all months to date</t>
  </si>
  <si>
    <t>Report Year (0 = All years):</t>
  </si>
  <si>
    <t>TOTAL INCOME</t>
  </si>
  <si>
    <t>TOTAL EXPENSES</t>
  </si>
  <si>
    <t>NET POSITION</t>
  </si>
  <si>
    <t>SUPPLIER CLAIMS (PENDING)</t>
  </si>
  <si>
    <t>BRANCH PERFORMANCE (filtered by month/year above)</t>
  </si>
  <si>
    <t>Branch</t>
  </si>
  <si>
    <t>Location</t>
  </si>
  <si>
    <t>Income</t>
  </si>
  <si>
    <t>Salaries</t>
  </si>
  <si>
    <t>KPLC</t>
  </si>
  <si>
    <t>Wifi</t>
  </si>
  <si>
    <t>Rent</t>
  </si>
  <si>
    <t>Supplier Claims</t>
  </si>
  <si>
    <t>Other Exp.</t>
  </si>
  <si>
    <t>Net</t>
  </si>
  <si>
    <t>China Ndogo</t>
  </si>
  <si>
    <t>Nairobi</t>
  </si>
  <si>
    <t>Yhe Cut</t>
  </si>
  <si>
    <t>Nakuru</t>
  </si>
  <si>
    <t>Heri Ads</t>
  </si>
  <si>
    <t>Eldoret</t>
  </si>
  <si>
    <t>Brands Point</t>
  </si>
  <si>
    <t>Ravine</t>
  </si>
  <si>
    <t>Lytus</t>
  </si>
  <si>
    <t>Kabarak</t>
  </si>
  <si>
    <t>BNB Milimani</t>
  </si>
  <si>
    <t>Milimani</t>
  </si>
  <si>
    <t>BNB Kiamunyi</t>
  </si>
  <si>
    <t>NBO Warehouse</t>
  </si>
  <si>
    <t>TOTAL</t>
  </si>
  <si>
    <t>Expense Category</t>
  </si>
  <si>
    <t>Total</t>
  </si>
  <si>
    <t>Employee Salaries</t>
  </si>
  <si>
    <t>Other Expense</t>
  </si>
  <si>
    <t>SETUP — Branches &amp; Categories</t>
  </si>
  <si>
    <t>Used to populate dropdown lists on other sheets. Edit here to add/rename branches or categories.</t>
  </si>
  <si>
    <t>Employees (sub-categories of 'Employee Salaries')</t>
  </si>
  <si>
    <t>Transaction Type</t>
  </si>
  <si>
    <t>Income Category</t>
  </si>
  <si>
    <t>Payment Method</t>
  </si>
  <si>
    <t>Claim Status</t>
  </si>
  <si>
    <t>Employee Name</t>
  </si>
  <si>
    <t>Dropdown Value (auto)</t>
  </si>
  <si>
    <t>Printing Jobs Revenue</t>
  </si>
  <si>
    <t>Cash</t>
  </si>
  <si>
    <t>Pending</t>
  </si>
  <si>
    <t>Jane Wanjiru</t>
  </si>
  <si>
    <t>Expense</t>
  </si>
  <si>
    <t>Design Services</t>
  </si>
  <si>
    <t>M-Pesa</t>
  </si>
  <si>
    <t>Resolved</t>
  </si>
  <si>
    <t>Peter Otieno</t>
  </si>
  <si>
    <t>Branding/Signage</t>
  </si>
  <si>
    <t>Bank Transfer</t>
  </si>
  <si>
    <t>Disputed</t>
  </si>
  <si>
    <t>Mary Chebet</t>
  </si>
  <si>
    <t>Other Income</t>
  </si>
  <si>
    <t>Cheque</t>
  </si>
  <si>
    <t>Samuel Kiptoo</t>
  </si>
  <si>
    <t>Grace Naliaka</t>
  </si>
  <si>
    <t>Printing Materials</t>
  </si>
  <si>
    <t>David Mwangi</t>
  </si>
  <si>
    <t>Transport</t>
  </si>
  <si>
    <t>Alice Njeri</t>
  </si>
  <si>
    <t>Repairs &amp; Maintenance</t>
  </si>
  <si>
    <t>↳ Employee Salaries: see Employees table (right) for named sub-categories</t>
  </si>
  <si>
    <t>DAILY ACCOUNTS — TRANSACTION LOG</t>
  </si>
  <si>
    <t>Log every income and expense entry here, one row per transaction. Dropdowns keep entries consistent.</t>
  </si>
  <si>
    <t>Running Total (Income - Expense):</t>
  </si>
  <si>
    <t>Date</t>
  </si>
  <si>
    <t>Type</t>
  </si>
  <si>
    <t>Category</t>
  </si>
  <si>
    <t>Description</t>
  </si>
  <si>
    <t>Amount (KES)</t>
  </si>
  <si>
    <t>Notes</t>
  </si>
  <si>
    <t>Linked Bill (optional)</t>
  </si>
  <si>
    <t>Employee (if Salary)</t>
  </si>
  <si>
    <t>Linked Claim (if not billed)</t>
  </si>
  <si>
    <t>BILLS &amp; PAYMENTS DUE TRACKER</t>
  </si>
  <si>
    <t>Add each bill once here. When you log the payment in Daily Transactions, pick its 'Linked Bill' from the dropdown — Amount Paid, Balance and Status below update automatically.</t>
  </si>
  <si>
    <t>Alert window (days before due to flag 'Due Soon'):</t>
  </si>
  <si>
    <t>Overdue:</t>
  </si>
  <si>
    <t>Due Soon:</t>
  </si>
  <si>
    <t>Partially Paid:</t>
  </si>
  <si>
    <t>Bill ID</t>
  </si>
  <si>
    <t>Bill / Payment</t>
  </si>
  <si>
    <t>Due Date</t>
  </si>
  <si>
    <t>Recurring?</t>
  </si>
  <si>
    <t>Frequency</t>
  </si>
  <si>
    <t>Amount Paid</t>
  </si>
  <si>
    <t>Balance Remaining</t>
  </si>
  <si>
    <t>Days Until Due</t>
  </si>
  <si>
    <t>Status</t>
  </si>
  <si>
    <t>Paid Date</t>
  </si>
  <si>
    <t>Match Key (auto - do not edit)</t>
  </si>
  <si>
    <t>BILL-001</t>
  </si>
  <si>
    <t>shop rent</t>
  </si>
  <si>
    <t>KES 105,000</t>
  </si>
  <si>
    <t>Yes</t>
  </si>
  <si>
    <t>Monthly</t>
  </si>
  <si>
    <t>KES 0</t>
  </si>
  <si>
    <t>Overdue</t>
  </si>
  <si>
    <t>BILL-001 | shop rent (Yhe Cut)</t>
  </si>
  <si>
    <t>BILL-002</t>
  </si>
  <si>
    <t>Internet</t>
  </si>
  <si>
    <t>KES 5,000</t>
  </si>
  <si>
    <t>BILL-002 | Internet (Yhe Cut)</t>
  </si>
  <si>
    <t>BILL-003</t>
  </si>
  <si>
    <t>KES 25,000</t>
  </si>
  <si>
    <t>BILL-003 | shop rent (China Ndogo)</t>
  </si>
  <si>
    <t>BILL-004</t>
  </si>
  <si>
    <t>KES 3,000</t>
  </si>
  <si>
    <t>Due Soon</t>
  </si>
  <si>
    <t>BILL-004 | Internet (China Ndogo)</t>
  </si>
  <si>
    <t>BILL-005</t>
  </si>
  <si>
    <t>warehouse rent</t>
  </si>
  <si>
    <t>KES 60,000</t>
  </si>
  <si>
    <t>BILL-005 | warehouse rent (NBO Warehouse)</t>
  </si>
  <si>
    <t>BILL-006</t>
  </si>
  <si>
    <t>BILL-006 | Internet (NBO Warehouse)</t>
  </si>
  <si>
    <t>BILL-007</t>
  </si>
  <si>
    <t>KES 4,500</t>
  </si>
  <si>
    <t>BILL-007 | shop rent (Lytus)</t>
  </si>
  <si>
    <t>BILL-008</t>
  </si>
  <si>
    <t>BILL-008 | Internet (Lytus)</t>
  </si>
  <si>
    <t>BILL-009</t>
  </si>
  <si>
    <t>KES 6,000</t>
  </si>
  <si>
    <t>BILL-009 | shop rent (Brands Point)</t>
  </si>
  <si>
    <t>BILL-010</t>
  </si>
  <si>
    <t>BILL-010 | Internet (Brands Point)</t>
  </si>
  <si>
    <t>BILL-011</t>
  </si>
  <si>
    <t>KES 22,500</t>
  </si>
  <si>
    <t>BILL-011 | shop rent (Heri Ads)</t>
  </si>
  <si>
    <t>BILL-012</t>
  </si>
  <si>
    <t>BILL-012 | Internet (Heri Ads)</t>
  </si>
  <si>
    <t>BILL-013</t>
  </si>
  <si>
    <t>bnb fee</t>
  </si>
  <si>
    <t>Upcoming</t>
  </si>
  <si>
    <t>BILL-013 | bnb fee (BNB Milimani)</t>
  </si>
  <si>
    <t>BILL-014</t>
  </si>
  <si>
    <t>BILL-014 | Internet (BNB Milimani)</t>
  </si>
  <si>
    <t>BILL-015</t>
  </si>
  <si>
    <t>KES 48,000</t>
  </si>
  <si>
    <t>BILL-015 | bnb fee (BNB Kiamunyi)</t>
  </si>
  <si>
    <t>BILL-016</t>
  </si>
  <si>
    <t>KES 12,000</t>
  </si>
  <si>
    <t>BILL-016 | Internet (BNB Kiamunyi)</t>
  </si>
  <si>
    <t>MONTHLY BRANCH SUMMARY</t>
  </si>
  <si>
    <t>Select a branch and year; monthly totals pull automatically from Daily Transactions.</t>
  </si>
  <si>
    <t>Branch:</t>
  </si>
  <si>
    <t>Year: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</si>
  <si>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</si>
  <si>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</si>
  <si>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</si>
  <si>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</si>
  <si>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</si>
  <si>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</si>
  <si>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</si>
  <si>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</si>
  <si>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</si>
  <si>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</si>
  <si>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</si>
  <si>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</si>
  <si>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Exp: Employee Salaries</t>
  </si>
  <si>
    <t>Exp: KPLC</t>
  </si>
  <si>
    <t>Exp: Wifi</t>
  </si>
  <si>
    <t>Exp: Rent</t>
  </si>
  <si>
    <t>Exp: Supplier Claims</t>
  </si>
  <si>
    <t>Exp: Printing Materials</t>
  </si>
  <si>
    <t>Exp: Transport</t>
  </si>
  <si>
    <t>Exp: Repairs &amp; Maintenance</t>
  </si>
  <si>
    <t>Exp: Other Expense</t>
  </si>
  <si>
    <t>NET (Income - Total Expenses)</t>
  </si>
  <si>
    <t>SUPPLIER CLAIMS TRACKER</t>
  </si>
  <si>
    <t>Log a claim once. If it also has a due date, create a matching row in Bills &amp; Payments Due and set 'Linked Bill ID' below - paying that bill via Daily Transactions updates both sheets automatically. If it has no due date, link payments directly using 'Linked Claim' on Daily Transactions instead.</t>
  </si>
  <si>
    <t>Pending:</t>
  </si>
  <si>
    <t>Total Outstanding (KES):</t>
  </si>
  <si>
    <t>Claim ID</t>
  </si>
  <si>
    <t>Date Raised</t>
  </si>
  <si>
    <t>Supplier</t>
  </si>
  <si>
    <t>Claim Description</t>
  </si>
  <si>
    <t>Invoice Ref.</t>
  </si>
  <si>
    <t>Linked Bill ID (optional)</t>
  </si>
  <si>
    <t>Disputed?</t>
  </si>
  <si>
    <t>Date Resolved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</si>
</sst>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KES &quot;#,##0;[RED]&quot;(KES &quot;#,##0\)"/>
    <numFmt numFmtId="165" formatCode="&quot;KES &quot;#,##0;[RED]&quot;-KES &quot;#,##0"/>
    <numFmt numFmtId="166" formatCode="dd\-mmm\-yyyy"/>
  </numFmts>
  <fonts count="19">
    <font>
      <sz val="11.0"/>
      <color theme="1"/>
      <name val="Calibri"/>
      <scheme val="minor"/>
    </font>
    <font>
      <sz val="11.0"/>
      <color theme="1"/>
      <name val="Calibri"/>
    </font>
    <font>
      <b/>
      <sz val="18.0"/>
      <color rgb="FF1F3864"/>
      <name val="Arial"/>
    </font>
    <font>
      <i/>
      <sz val="10.0"/>
      <color rgb="FF595959"/>
      <name val="Arial"/>
    </font>
    <font>
      <b/>
      <sz val="10.0"/>
      <color rgb="FF1F3864"/>
      <name val="Arial"/>
    </font>
    <font>
      <sz val="10.0"/>
      <color rgb="FF0000FF"/>
      <name val="Arial"/>
    </font>
    <font>
      <b/>
      <sz val="10.0"/>
      <color rgb="FF595959"/>
      <name val="Arial"/>
    </font>
    <font/>
    <font>
      <b/>
      <sz val="20.0"/>
      <color rgb="FF1F3864"/>
      <name val="Arial"/>
    </font>
    <font>
      <b/>
      <sz val="12.0"/>
      <color rgb="FFFFFFFF"/>
      <name val="Arial"/>
    </font>
    <font>
      <b/>
      <sz val="11.0"/>
      <color rgb="FFFFFFFF"/>
      <name val="Arial"/>
    </font>
    <font>
      <sz val="10.0"/>
      <color rgb="FF000000"/>
      <name val="Arial"/>
    </font>
    <font>
      <i/>
      <sz val="9.0"/>
      <color rgb="FF808080"/>
      <name val="Arial"/>
    </font>
    <font>
      <sz val="8.0"/>
      <color rgb="FFA6A6A6"/>
      <name val="Arial"/>
    </font>
    <font>
      <b/>
      <sz val="12.0"/>
      <color rgb="FF1F3864"/>
      <name val="Arial"/>
    </font>
    <font>
      <b/>
      <sz val="11.0"/>
      <color rgb="FF9C0006"/>
      <name val="Arial"/>
    </font>
    <font>
      <b/>
      <sz val="11.0"/>
      <color rgb="FF9C6500"/>
      <name val="Arial"/>
    </font>
    <font>
      <b/>
      <sz val="11.0"/>
      <color rgb="FF1F4E78"/>
      <name val="Arial"/>
    </font>
    <font>
      <b/>
      <sz val="12.0"/>
      <color rgb="FF9C0006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2E5395"/>
        <bgColor rgb="FF2E5395"/>
      </patternFill>
    </fill>
    <fill>
      <patternFill patternType="solid">
        <fgColor rgb="FF1F3864"/>
        <bgColor rgb="FF1F3864"/>
      </patternFill>
    </fill>
    <fill>
      <patternFill patternType="solid">
        <fgColor rgb="FFF2F2F2"/>
        <bgColor rgb="FFF2F2F2"/>
      </patternFill>
    </fill>
    <fill>
      <patternFill patternType="solid">
        <fgColor rgb="FFF7F9FC"/>
        <bgColor rgb="FFF7F9FC"/>
      </patternFill>
    </fill>
  </fills>
  <borders count="1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FFBFBFBF"/>
      </lef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left/>
      <top/>
      <bottom/>
    </border>
    <border>
      <top/>
      <bottom/>
    </border>
    <border>
      <right/>
      <top/>
      <bottom/>
    </border>
    <border>
      <top style="medium">
        <color rgb="FF1F3864"/>
      </top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1" fillId="2" fontId="5" numFmtId="0" xfId="0" applyAlignment="1" applyBorder="1" applyFill="1" applyFont="1">
      <alignment horizontal="center" shrinkToFit="0" vertical="bottom" wrapText="0"/>
    </xf>
    <xf borderId="2" fillId="3" fontId="6" numFmtId="0" xfId="0" applyAlignment="1" applyBorder="1" applyFill="1" applyFont="1">
      <alignment horizontal="left" shrinkToFit="0" vertical="bottom" wrapText="0"/>
    </xf>
    <xf borderId="3" fillId="0" fontId="7" numFmtId="0" xfId="0" applyBorder="1" applyFont="1"/>
    <xf borderId="4" fillId="3" fontId="8" numFmtId="164" xfId="0" applyAlignment="1" applyBorder="1" applyFont="1" applyNumberFormat="1">
      <alignment horizontal="left" shrinkToFit="0" vertical="center" wrapText="0"/>
    </xf>
    <xf borderId="5" fillId="0" fontId="7" numFmtId="0" xfId="0" applyBorder="1" applyFont="1"/>
    <xf borderId="6" fillId="0" fontId="7" numFmtId="0" xfId="0" applyBorder="1" applyFont="1"/>
    <xf borderId="7" fillId="0" fontId="7" numFmtId="0" xfId="0" applyBorder="1" applyFont="1"/>
    <xf borderId="8" fillId="4" fontId="9" numFmtId="0" xfId="0" applyAlignment="1" applyBorder="1" applyFill="1" applyFont="1">
      <alignment shrinkToFit="0" vertical="bottom" wrapText="0"/>
    </xf>
    <xf borderId="9" fillId="0" fontId="7" numFmtId="0" xfId="0" applyBorder="1" applyFont="1"/>
    <xf borderId="10" fillId="0" fontId="7" numFmtId="0" xfId="0" applyBorder="1" applyFont="1"/>
    <xf borderId="1" fillId="5" fontId="10" numFmtId="0" xfId="0" applyAlignment="1" applyBorder="1" applyFill="1" applyFont="1">
      <alignment horizontal="center" shrinkToFit="0" vertical="center" wrapText="1"/>
    </xf>
    <xf borderId="1" fillId="0" fontId="11" numFmtId="0" xfId="0" applyAlignment="1" applyBorder="1" applyFont="1">
      <alignment shrinkToFit="0" vertical="bottom" wrapText="0"/>
    </xf>
    <xf borderId="1" fillId="0" fontId="1" numFmtId="165" xfId="0" applyAlignment="1" applyBorder="1" applyFont="1" applyNumberFormat="1">
      <alignment shrinkToFit="0" vertical="bottom" wrapText="0"/>
    </xf>
    <xf borderId="1" fillId="6" fontId="11" numFmtId="0" xfId="0" applyAlignment="1" applyBorder="1" applyFill="1" applyFont="1">
      <alignment readingOrder="0" shrinkToFit="0" vertical="bottom" wrapText="0"/>
    </xf>
    <xf borderId="1" fillId="6" fontId="11" numFmtId="0" xfId="0" applyAlignment="1" applyBorder="1" applyFont="1">
      <alignment shrinkToFit="0" vertical="bottom" wrapText="0"/>
    </xf>
    <xf borderId="1" fillId="6" fontId="1" numFmtId="165" xfId="0" applyAlignment="1" applyBorder="1" applyFont="1" applyNumberFormat="1">
      <alignment shrinkToFit="0" vertical="bottom" wrapText="0"/>
    </xf>
    <xf borderId="11" fillId="0" fontId="4" numFmtId="0" xfId="0" applyAlignment="1" applyBorder="1" applyFont="1">
      <alignment shrinkToFit="0" vertical="bottom" wrapText="0"/>
    </xf>
    <xf borderId="11" fillId="0" fontId="4" numFmtId="165" xfId="0" applyAlignment="1" applyBorder="1" applyFont="1" applyNumberFormat="1">
      <alignment shrinkToFit="0" vertical="bottom" wrapText="0"/>
    </xf>
    <xf borderId="0" fillId="0" fontId="11" numFmtId="0" xfId="0" applyAlignment="1" applyFont="1">
      <alignment shrinkToFit="0" vertical="bottom" wrapText="0"/>
    </xf>
    <xf borderId="0" fillId="0" fontId="1" numFmtId="165" xfId="0" applyAlignment="1" applyFont="1" applyNumberFormat="1">
      <alignment shrinkToFit="0" vertical="bottom" wrapText="0"/>
    </xf>
    <xf borderId="1" fillId="0" fontId="12" numFmtId="0" xfId="0" applyAlignment="1" applyBorder="1" applyFont="1">
      <alignment shrinkToFit="0" vertical="bottom" wrapText="0"/>
    </xf>
    <xf borderId="1" fillId="0" fontId="13" numFmtId="0" xfId="0" applyAlignment="1" applyBorder="1" applyFont="1">
      <alignment shrinkToFit="0" vertical="bottom" wrapText="0"/>
    </xf>
    <xf borderId="1" fillId="0" fontId="11" numFmtId="0" xfId="0" applyAlignment="1" applyBorder="1" applyFont="1">
      <alignment readingOrder="0"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1" fillId="7" fontId="11" numFmtId="166" xfId="0" applyAlignment="1" applyBorder="1" applyFill="1" applyFont="1" applyNumberFormat="1">
      <alignment shrinkToFit="0" vertical="bottom" wrapText="0"/>
    </xf>
    <xf borderId="1" fillId="7" fontId="11" numFmtId="0" xfId="0" applyAlignment="1" applyBorder="1" applyFont="1">
      <alignment shrinkToFit="0" vertical="bottom" wrapText="0"/>
    </xf>
    <xf borderId="1" fillId="7" fontId="11" numFmtId="165" xfId="0" applyAlignment="1" applyBorder="1" applyFont="1" applyNumberFormat="1">
      <alignment shrinkToFit="0" vertical="bottom" wrapText="0"/>
    </xf>
    <xf borderId="1" fillId="0" fontId="12" numFmtId="166" xfId="0" applyAlignment="1" applyBorder="1" applyFont="1" applyNumberFormat="1">
      <alignment shrinkToFit="0" vertical="bottom" wrapText="0"/>
    </xf>
    <xf borderId="1" fillId="0" fontId="12" numFmtId="165" xfId="0" applyAlignment="1" applyBorder="1" applyFont="1" applyNumberFormat="1">
      <alignment shrinkToFit="0" vertical="bottom" wrapText="0"/>
    </xf>
    <xf borderId="1" fillId="7" fontId="12" numFmtId="166" xfId="0" applyAlignment="1" applyBorder="1" applyFont="1" applyNumberFormat="1">
      <alignment shrinkToFit="0" vertical="bottom" wrapText="0"/>
    </xf>
    <xf borderId="1" fillId="7" fontId="12" numFmtId="0" xfId="0" applyAlignment="1" applyBorder="1" applyFont="1">
      <alignment shrinkToFit="0" vertical="bottom" wrapText="0"/>
    </xf>
    <xf borderId="1" fillId="7" fontId="12" numFmtId="165" xfId="0" applyAlignment="1" applyBorder="1" applyFont="1" applyNumberFormat="1">
      <alignment shrinkToFit="0" vertical="bottom" wrapText="0"/>
    </xf>
    <xf borderId="1" fillId="0" fontId="11" numFmtId="166" xfId="0" applyAlignment="1" applyBorder="1" applyFont="1" applyNumberFormat="1">
      <alignment shrinkToFit="0" vertical="bottom" wrapText="0"/>
    </xf>
    <xf borderId="1" fillId="0" fontId="11" numFmtId="165" xfId="0" applyAlignment="1" applyBorder="1" applyFont="1" applyNumberFormat="1">
      <alignment shrinkToFit="0" vertical="bottom" wrapText="0"/>
    </xf>
    <xf borderId="0" fillId="0" fontId="15" numFmtId="0" xfId="0" applyAlignment="1" applyFont="1">
      <alignment horizontal="left" shrinkToFit="0" vertical="bottom" wrapText="0"/>
    </xf>
    <xf borderId="0" fillId="0" fontId="16" numFmtId="0" xfId="0" applyAlignment="1" applyFont="1">
      <alignment horizontal="left" shrinkToFit="0" vertical="bottom" wrapText="0"/>
    </xf>
    <xf borderId="0" fillId="0" fontId="17" numFmtId="0" xfId="0" applyAlignment="1" applyFont="1">
      <alignment horizontal="left" shrinkToFit="0" vertical="bottom" wrapText="0"/>
    </xf>
    <xf borderId="1" fillId="0" fontId="1" numFmtId="0" xfId="0" applyAlignment="1" applyBorder="1" applyFont="1">
      <alignment readingOrder="0" shrinkToFit="0" vertical="bottom" wrapText="0"/>
    </xf>
    <xf borderId="1" fillId="0" fontId="12" numFmtId="165" xfId="0" applyAlignment="1" applyBorder="1" applyFont="1" applyNumberFormat="1">
      <alignment readingOrder="0" shrinkToFit="0" vertical="bottom" wrapText="0"/>
    </xf>
    <xf borderId="1" fillId="0" fontId="12" numFmtId="166" xfId="0" applyAlignment="1" applyBorder="1" applyFont="1" applyNumberFormat="1">
      <alignment readingOrder="0" shrinkToFit="0" vertical="bottom" wrapText="0"/>
    </xf>
    <xf borderId="1" fillId="0" fontId="1" numFmtId="165" xfId="0" applyAlignment="1" applyBorder="1" applyFont="1" applyNumberFormat="1">
      <alignment readingOrder="0" shrinkToFit="0" vertical="bottom" wrapText="0"/>
    </xf>
    <xf borderId="1" fillId="0" fontId="1" numFmtId="166" xfId="0" applyAlignment="1" applyBorder="1" applyFont="1" applyNumberFormat="1">
      <alignment shrinkToFit="0" vertical="bottom" wrapText="0"/>
    </xf>
    <xf borderId="1" fillId="0" fontId="13" numFmtId="0" xfId="0" applyAlignment="1" applyBorder="1" applyFont="1">
      <alignment readingOrder="0" shrinkToFit="0" vertical="bottom" wrapText="0"/>
    </xf>
    <xf borderId="1" fillId="7" fontId="1" numFmtId="0" xfId="0" applyAlignment="1" applyBorder="1" applyFont="1">
      <alignment readingOrder="0" shrinkToFit="0" vertical="bottom" wrapText="0"/>
    </xf>
    <xf borderId="1" fillId="7" fontId="12" numFmtId="0" xfId="0" applyAlignment="1" applyBorder="1" applyFont="1">
      <alignment readingOrder="0" shrinkToFit="0" vertical="bottom" wrapText="0"/>
    </xf>
    <xf borderId="1" fillId="7" fontId="12" numFmtId="165" xfId="0" applyAlignment="1" applyBorder="1" applyFont="1" applyNumberFormat="1">
      <alignment readingOrder="0" shrinkToFit="0" vertical="bottom" wrapText="0"/>
    </xf>
    <xf borderId="1" fillId="7" fontId="12" numFmtId="166" xfId="0" applyAlignment="1" applyBorder="1" applyFont="1" applyNumberFormat="1">
      <alignment readingOrder="0" shrinkToFit="0" vertical="bottom" wrapText="0"/>
    </xf>
    <xf borderId="1" fillId="7" fontId="1" numFmtId="165" xfId="0" applyAlignment="1" applyBorder="1" applyFont="1" applyNumberFormat="1">
      <alignment readingOrder="0" shrinkToFit="0" vertical="bottom" wrapText="0"/>
    </xf>
    <xf borderId="1" fillId="7" fontId="1" numFmtId="166" xfId="0" applyAlignment="1" applyBorder="1" applyFont="1" applyNumberFormat="1">
      <alignment shrinkToFit="0" vertical="bottom" wrapText="0"/>
    </xf>
    <xf borderId="1" fillId="0" fontId="11" numFmtId="166" xfId="0" applyAlignment="1" applyBorder="1" applyFont="1" applyNumberFormat="1">
      <alignment readingOrder="0" shrinkToFit="0" vertical="bottom" wrapText="0"/>
    </xf>
    <xf borderId="1" fillId="7" fontId="11" numFmtId="0" xfId="0" applyAlignment="1" applyBorder="1" applyFont="1">
      <alignment readingOrder="0" shrinkToFit="0" vertical="bottom" wrapText="0"/>
    </xf>
    <xf borderId="1" fillId="7" fontId="11" numFmtId="166" xfId="0" applyAlignment="1" applyBorder="1" applyFont="1" applyNumberFormat="1">
      <alignment readingOrder="0" shrinkToFit="0" vertical="bottom" wrapText="0"/>
    </xf>
    <xf borderId="1" fillId="7" fontId="1" numFmtId="0" xfId="0" applyAlignment="1" applyBorder="1" applyFont="1">
      <alignment shrinkToFit="0" vertical="bottom" wrapText="0"/>
    </xf>
    <xf borderId="1" fillId="7" fontId="1" numFmtId="165" xfId="0" applyAlignment="1" applyBorder="1" applyFont="1" applyNumberFormat="1">
      <alignment shrinkToFit="0" vertical="bottom" wrapText="0"/>
    </xf>
    <xf borderId="1" fillId="2" fontId="5" numFmtId="0" xfId="0" applyAlignment="1" applyBorder="1" applyFont="1">
      <alignment shrinkToFit="0" vertical="bottom" wrapText="0"/>
    </xf>
    <xf borderId="1" fillId="0" fontId="4" numFmtId="165" xfId="0" applyAlignment="1" applyBorder="1" applyFont="1" applyNumberFormat="1">
      <alignment shrinkToFit="0" vertical="bottom" wrapText="0"/>
    </xf>
    <xf borderId="1" fillId="6" fontId="4" numFmtId="165" xfId="0" applyAlignment="1" applyBorder="1" applyFont="1" applyNumberFormat="1">
      <alignment shrinkToFit="0" vertical="bottom" wrapText="0"/>
    </xf>
    <xf borderId="0" fillId="0" fontId="15" numFmtId="0" xfId="0" applyAlignment="1" applyFont="1">
      <alignment shrinkToFit="0" vertical="bottom" wrapText="0"/>
    </xf>
    <xf borderId="0" fillId="0" fontId="17" numFmtId="0" xfId="0" applyAlignment="1" applyFont="1">
      <alignment shrinkToFit="0" vertical="bottom" wrapText="0"/>
    </xf>
    <xf borderId="0" fillId="0" fontId="18" numFmtId="165" xfId="0" applyAlignment="1" applyFont="1" applyNumberFormat="1">
      <alignment shrinkToFit="0" vertical="bottom" wrapText="0"/>
    </xf>
  </cellXfs>
  <cellStyles count="1">
    <cellStyle xfId="0" name="Normal" builtinId="0"/>
  </cellStyles>
  <dxfs count="8">
    <dxf>
      <font>
        <b/>
        <color rgb="FF1E7145"/>
      </font>
      <fill>
        <patternFill patternType="none"/>
      </fill>
      <border/>
    </dxf>
    <dxf>
      <font>
        <b/>
        <color rgb="FFC00000"/>
      </font>
      <fill>
        <patternFill patternType="none"/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color rgb="FFC65911"/>
      </font>
      <fill>
        <patternFill patternType="solid">
          <fgColor rgb="FFFCE4D6"/>
          <bgColor rgb="FFFCE4D6"/>
        </patternFill>
      </fill>
      <border/>
    </dxf>
    <dxf>
      <font>
        <color rgb="FF9C6500"/>
      </font>
      <fill>
        <patternFill patternType="solid">
          <fgColor rgb="FFFFEB9C"/>
          <bgColor rgb="FFFFEB9C"/>
        </patternFill>
      </fill>
      <border/>
    </dxf>
    <dxf>
      <font>
        <color rgb="FF1F4E78"/>
      </font>
      <fill>
        <patternFill patternType="solid">
          <fgColor rgb="FFDDEBF7"/>
          <bgColor rgb="FFDDEBF7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b/>
        <i/>
        <color rgb="FFC65911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Net Position by Branch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Net</c:v>
          </c:tx>
          <c:spPr>
            <a:solidFill>
              <a:srgbClr val="4F81BD"/>
            </a:solidFill>
            <a:ln cmpd="sng">
              <a:noFill/>
            </a:ln>
          </c:spPr>
          <c:cat>
            <c:strRef>
              <c:f>Dashboard!$B$16:$B$23</c:f>
            </c:strRef>
          </c:cat>
          <c:val>
            <c:numRef>
              <c:f>Dashboard!$K$16:$K$23</c:f>
              <c:numCache/>
            </c:numRef>
          </c:val>
        </c:ser>
        <c:axId val="1678678903"/>
        <c:axId val="1558575809"/>
      </c:barChart>
      <c:catAx>
        <c:axId val="167867890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0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58575809"/>
      </c:catAx>
      <c:valAx>
        <c:axId val="1558575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1" i="0" sz="1000">
                    <a:solidFill>
                      <a:srgbClr val="000000"/>
                    </a:solidFill>
                    <a:latin typeface="Calibri"/>
                  </a:defRPr>
                </a:pPr>
                <a:r>
                  <a:rPr b="1" i="0" sz="1000">
                    <a:solidFill>
                      <a:srgbClr val="000000"/>
                    </a:solidFill>
                    <a:latin typeface="Calibri"/>
                  </a:rPr>
                  <a:t>KES</a:t>
                </a:r>
              </a:p>
            </c:rich>
          </c:tx>
          <c:overlay val="0"/>
        </c:title>
        <c:numFmt formatCode="&quot;KES &quot;#,##0;[RED]&quot;-KES &quot;#,##0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678678903"/>
      </c:valAx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Expense Mix (All Branches)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Dashboard!$C$46</c:f>
            </c:strRef>
          </c:tx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Pt>
            <c:idx val="3"/>
            <c:spPr>
              <a:solidFill>
                <a:srgbClr val="8064A2"/>
              </a:solidFill>
            </c:spPr>
          </c:dPt>
          <c:dPt>
            <c:idx val="4"/>
            <c:spPr>
              <a:solidFill>
                <a:srgbClr val="4BACC6"/>
              </a:solidFill>
            </c:spPr>
          </c:dPt>
          <c:dPt>
            <c:idx val="5"/>
            <c:spPr>
              <a:solidFill>
                <a:srgbClr val="F79646"/>
              </a:solidFill>
            </c:spPr>
          </c:dPt>
          <c:dLbls>
            <c:dLbl>
              <c:idx val="0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1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2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3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4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dLbl>
              <c:idx val="5"/>
              <c:txPr>
                <a:bodyPr/>
                <a:lstStyle/>
                <a:p>
                  <a:pPr lvl="0">
                    <a:defRPr b="0" i="0" sz="1000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howBubbleSize val="0"/>
            </c:dLbl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Dashboard!$B$47:$B$52</c:f>
            </c:strRef>
          </c:cat>
          <c:val>
            <c:numRef>
              <c:f>Dashboard!$C$47:$C$52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i="0" sz="1000">
              <a:solidFill>
                <a:srgbClr val="000000"/>
              </a:solidFill>
              <a:latin typeface="Calibri"/>
            </a:defRPr>
          </a:pPr>
        </a:p>
      </c:txPr>
    </c:legend>
    <c:plotVisOnly val="1"/>
  </c:chart>
  <c:spPr>
    <a:solidFill>
      <a:srgbClr val="FFFFFF"/>
    </a:solidFill>
  </c:spPr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171450</xdr:colOff>
      <xdr:row>24</xdr:row>
      <xdr:rowOff>104775</xdr:rowOff>
    </xdr:from>
    <xdr:ext cx="6124575" cy="3019425"/>
    <xdr:graphicFrame>
      <xdr:nvGraphicFramePr>
        <xdr:cNvPr id="520943965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390525</xdr:colOff>
      <xdr:row>24</xdr:row>
      <xdr:rowOff>104775</xdr:rowOff>
    </xdr:from>
    <xdr:ext cx="4124325" cy="3019425"/>
    <xdr:graphicFrame>
      <xdr:nvGraphicFramePr>
        <xdr:cNvPr id="1712985950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2.0"/>
    <col customWidth="1" min="2" max="2" width="18.0"/>
    <col customWidth="1" min="3" max="3" width="14.0"/>
    <col customWidth="1" min="4" max="5" width="13.0"/>
    <col customWidth="1" min="6" max="8" width="11.0"/>
    <col customWidth="1" min="9" max="9" width="15.0"/>
    <col customWidth="1" min="10" max="11" width="13.0"/>
    <col customWidth="1" min="12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1"/>
      <c r="B2" s="2" t="s">
        <v>0</v>
      </c>
    </row>
    <row r="3">
      <c r="A3" s="1"/>
      <c r="B3" s="3" t="s">
        <v>1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>
      <c r="A5" s="1"/>
      <c r="B5" s="4" t="s">
        <v>2</v>
      </c>
      <c r="C5" s="1"/>
      <c r="D5" s="1"/>
      <c r="E5" s="5">
        <v>0.0</v>
      </c>
      <c r="F5" s="3" t="s">
        <v>3</v>
      </c>
      <c r="G5" s="1"/>
      <c r="H5" s="1"/>
      <c r="I5" s="1"/>
      <c r="J5" s="1"/>
      <c r="K5" s="1"/>
    </row>
    <row r="6">
      <c r="A6" s="1"/>
      <c r="B6" s="4" t="s">
        <v>4</v>
      </c>
      <c r="C6" s="1"/>
      <c r="D6" s="1"/>
      <c r="E6" s="5">
        <v>0.0</v>
      </c>
      <c r="F6" s="1"/>
      <c r="G6" s="1"/>
      <c r="H6" s="1"/>
      <c r="I6" s="1"/>
      <c r="J6" s="1"/>
      <c r="K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ht="15.75" customHeight="1">
      <c r="A9" s="1"/>
      <c r="B9" s="6" t="s">
        <v>5</v>
      </c>
      <c r="C9" s="7"/>
      <c r="D9" s="1"/>
      <c r="E9" s="6" t="s">
        <v>6</v>
      </c>
      <c r="F9" s="7"/>
      <c r="G9" s="1"/>
      <c r="H9" s="6" t="s">
        <v>7</v>
      </c>
      <c r="I9" s="7"/>
      <c r="J9" s="1"/>
      <c r="K9" s="6" t="s">
        <v>8</v>
      </c>
      <c r="L9" s="7"/>
    </row>
    <row r="10" ht="21.75" customHeight="1">
      <c r="A10" s="1"/>
      <c r="B10" s="8">
        <f>SUMPRODUCT(('Daily Transactions'!$C$6:$C$500="Income")*(($E$5=0)+(MONTH('Daily Transactions'!$A$6:$A$500)=$E$5))*(($E$6=0)+(YEAR('Daily Transactions'!$A$6:$A$500)=$E$6))*'Daily Transactions'!$F$6:$F$500)</f>
        <v>0</v>
      </c>
      <c r="C10" s="9"/>
      <c r="D10" s="1"/>
      <c r="E10" s="8">
        <f>SUMPRODUCT(('Daily Transactions'!$C$6:$C$500="Expense")*(($E$5=0)+(MONTH('Daily Transactions'!$A$6:$A$500)=$E$5))*(($E$6=0)+(YEAR('Daily Transactions'!$A$6:$A$500)=$E$6))*'Daily Transactions'!$F$6:$F$500)</f>
        <v>0</v>
      </c>
      <c r="F10" s="9"/>
      <c r="G10" s="1"/>
      <c r="H10" s="8">
        <f>B10-E10</f>
        <v>0</v>
      </c>
      <c r="I10" s="9"/>
      <c r="J10" s="1"/>
      <c r="K10" s="8">
        <f>SUMIFS('Supplier Claims'!$F:$F,'Supplier Claims'!$G:$G,"Pending")</f>
        <v>0</v>
      </c>
      <c r="L10" s="9"/>
    </row>
    <row r="11">
      <c r="A11" s="1"/>
      <c r="B11" s="10"/>
      <c r="C11" s="11"/>
      <c r="D11" s="1"/>
      <c r="E11" s="10"/>
      <c r="F11" s="11"/>
      <c r="G11" s="1"/>
      <c r="H11" s="10"/>
      <c r="I11" s="11"/>
      <c r="J11" s="1"/>
      <c r="K11" s="10"/>
      <c r="L11" s="11"/>
    </row>
    <row r="12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>
      <c r="A14" s="1"/>
      <c r="B14" s="12" t="s">
        <v>9</v>
      </c>
      <c r="C14" s="13"/>
      <c r="D14" s="13"/>
      <c r="E14" s="13"/>
      <c r="F14" s="13"/>
      <c r="G14" s="13"/>
      <c r="H14" s="13"/>
      <c r="I14" s="13"/>
      <c r="J14" s="13"/>
      <c r="K14" s="14"/>
    </row>
    <row r="15">
      <c r="A15" s="1"/>
      <c r="B15" s="15" t="s">
        <v>10</v>
      </c>
      <c r="C15" s="15" t="s">
        <v>11</v>
      </c>
      <c r="D15" s="15" t="s">
        <v>12</v>
      </c>
      <c r="E15" s="15" t="s">
        <v>13</v>
      </c>
      <c r="F15" s="15" t="s">
        <v>14</v>
      </c>
      <c r="G15" s="15" t="s">
        <v>15</v>
      </c>
      <c r="H15" s="15" t="s">
        <v>16</v>
      </c>
      <c r="I15" s="15" t="s">
        <v>17</v>
      </c>
      <c r="J15" s="15" t="s">
        <v>18</v>
      </c>
      <c r="K15" s="15" t="s">
        <v>19</v>
      </c>
    </row>
    <row r="16">
      <c r="A16" s="1"/>
      <c r="B16" s="16" t="s">
        <v>20</v>
      </c>
      <c r="C16" s="16" t="s">
        <v>21</v>
      </c>
      <c r="D16" s="17">
        <f>SUMPRODUCT(('Daily Transactions'!$B$6:$B$500=$B16)*('Daily Transactions'!$C$6:$C$500="Income")*(($E$5=0)+(MONTH('Daily Transactions'!$A$6:$A$500)=$E$5))*(($E$6=0)+(YEAR('Daily Transactions'!$A$6:$A$500)=$E$6))*'Daily Transactions'!$F$6:$F$500)</f>
        <v>0</v>
      </c>
      <c r="E16" s="17">
        <f>SUMPRODUCT(('Daily Transactions'!$B$6:$B$500=$B16)*('Daily Transactions'!$D$6:$D$500="Employee Salaries")*(($E$5=0)+(MONTH('Daily Transactions'!$A$6:$A$500)=$E$5))*(($E$6=0)+(YEAR('Daily Transactions'!$A$6:$A$500)=$E$6))*'Daily Transactions'!$F$6:$F$500)</f>
        <v>0</v>
      </c>
      <c r="F16" s="17">
        <f>SUMPRODUCT(('Daily Transactions'!$B$6:$B$500=$B16)*('Daily Transactions'!$D$6:$D$500="KPLC")*(($E$5=0)+(MONTH('Daily Transactions'!$A$6:$A$500)=$E$5))*(($E$6=0)+(YEAR('Daily Transactions'!$A$6:$A$500)=$E$6))*'Daily Transactions'!$F$6:$F$500)</f>
        <v>0</v>
      </c>
      <c r="G16" s="17">
        <f>SUMPRODUCT(('Daily Transactions'!$B$6:$B$500=$B16)*('Daily Transactions'!$D$6:$D$500="Wifi")*(($E$5=0)+(MONTH('Daily Transactions'!$A$6:$A$500)=$E$5))*(($E$6=0)+(YEAR('Daily Transactions'!$A$6:$A$500)=$E$6))*'Daily Transactions'!$F$6:$F$500)</f>
        <v>0</v>
      </c>
      <c r="H16" s="17">
        <f>SUMPRODUCT(('Daily Transactions'!$B$6:$B$500=$B16)*('Daily Transactions'!$D$6:$D$500="Rent")*(($E$5=0)+(MONTH('Daily Transactions'!$A$6:$A$500)=$E$5))*(($E$6=0)+(YEAR('Daily Transactions'!$A$6:$A$500)=$E$6))*'Daily Transactions'!$F$6:$F$500)</f>
        <v>0</v>
      </c>
      <c r="I16" s="17">
        <f>SUMPRODUCT(('Daily Transactions'!$B$6:$B$500=$B16)*('Daily Transactions'!$D$6:$D$500="Supplier Claims")*(($E$5=0)+(MONTH('Daily Transactions'!$A$6:$A$500)=$E$5))*(($E$6=0)+(YEAR('Daily Transactions'!$A$6:$A$500)=$E$6))*'Daily Transactions'!$F$6:$F$500)</f>
        <v>0</v>
      </c>
      <c r="J16" s="17">
        <f>SUMPRODUCT(('Daily Transactions'!$B$6:$B$500=$B16)*('Daily Transactions'!$D$6:$D$500="Other Expense")*(($E$5=0)+(MONTH('Daily Transactions'!$A$6:$A$500)=$E$5))*(($E$6=0)+(YEAR('Daily Transactions'!$A$6:$A$500)=$E$6))*'Daily Transactions'!$F$6:$F$500)</f>
        <v>0</v>
      </c>
      <c r="K16" s="17">
        <f t="shared" ref="K16:K23" si="1">D16-SUM(E16:J16)</f>
        <v>0</v>
      </c>
    </row>
    <row r="17">
      <c r="A17" s="1"/>
      <c r="B17" s="18" t="s">
        <v>22</v>
      </c>
      <c r="C17" s="19" t="s">
        <v>23</v>
      </c>
      <c r="D17" s="20">
        <f>SUMPRODUCT(('Daily Transactions'!$B$6:$B$500=$B17)*('Daily Transactions'!$C$6:$C$500="Income")*(($E$5=0)+(MONTH('Daily Transactions'!$A$6:$A$500)=$E$5))*(($E$6=0)+(YEAR('Daily Transactions'!$A$6:$A$500)=$E$6))*'Daily Transactions'!$F$6:$F$500)</f>
        <v>0</v>
      </c>
      <c r="E17" s="20">
        <f>SUMPRODUCT(('Daily Transactions'!$B$6:$B$500=$B17)*('Daily Transactions'!$D$6:$D$500="Employee Salaries")*(($E$5=0)+(MONTH('Daily Transactions'!$A$6:$A$500)=$E$5))*(($E$6=0)+(YEAR('Daily Transactions'!$A$6:$A$500)=$E$6))*'Daily Transactions'!$F$6:$F$500)</f>
        <v>0</v>
      </c>
      <c r="F17" s="20">
        <f>SUMPRODUCT(('Daily Transactions'!$B$6:$B$500=$B17)*('Daily Transactions'!$D$6:$D$500="KPLC")*(($E$5=0)+(MONTH('Daily Transactions'!$A$6:$A$500)=$E$5))*(($E$6=0)+(YEAR('Daily Transactions'!$A$6:$A$500)=$E$6))*'Daily Transactions'!$F$6:$F$500)</f>
        <v>0</v>
      </c>
      <c r="G17" s="20">
        <f>SUMPRODUCT(('Daily Transactions'!$B$6:$B$500=$B17)*('Daily Transactions'!$D$6:$D$500="Wifi")*(($E$5=0)+(MONTH('Daily Transactions'!$A$6:$A$500)=$E$5))*(($E$6=0)+(YEAR('Daily Transactions'!$A$6:$A$500)=$E$6))*'Daily Transactions'!$F$6:$F$500)</f>
        <v>0</v>
      </c>
      <c r="H17" s="20">
        <f>SUMPRODUCT(('Daily Transactions'!$B$6:$B$500=$B17)*('Daily Transactions'!$D$6:$D$500="Rent")*(($E$5=0)+(MONTH('Daily Transactions'!$A$6:$A$500)=$E$5))*(($E$6=0)+(YEAR('Daily Transactions'!$A$6:$A$500)=$E$6))*'Daily Transactions'!$F$6:$F$500)</f>
        <v>0</v>
      </c>
      <c r="I17" s="20">
        <f>SUMPRODUCT(('Daily Transactions'!$B$6:$B$500=$B17)*('Daily Transactions'!$D$6:$D$500="Supplier Claims")*(($E$5=0)+(MONTH('Daily Transactions'!$A$6:$A$500)=$E$5))*(($E$6=0)+(YEAR('Daily Transactions'!$A$6:$A$500)=$E$6))*'Daily Transactions'!$F$6:$F$500)</f>
        <v>0</v>
      </c>
      <c r="J17" s="20">
        <f>SUMPRODUCT(('Daily Transactions'!$B$6:$B$500=$B17)*('Daily Transactions'!$D$6:$D$500="Other Expense")*(($E$5=0)+(MONTH('Daily Transactions'!$A$6:$A$500)=$E$5))*(($E$6=0)+(YEAR('Daily Transactions'!$A$6:$A$500)=$E$6))*'Daily Transactions'!$F$6:$F$500)</f>
        <v>0</v>
      </c>
      <c r="K17" s="20">
        <f t="shared" si="1"/>
        <v>0</v>
      </c>
    </row>
    <row r="18">
      <c r="A18" s="1"/>
      <c r="B18" s="16" t="s">
        <v>24</v>
      </c>
      <c r="C18" s="16" t="s">
        <v>25</v>
      </c>
      <c r="D18" s="17">
        <f>SUMPRODUCT(('Daily Transactions'!$B$6:$B$500=$B18)*('Daily Transactions'!$C$6:$C$500="Income")*(($E$5=0)+(MONTH('Daily Transactions'!$A$6:$A$500)=$E$5))*(($E$6=0)+(YEAR('Daily Transactions'!$A$6:$A$500)=$E$6))*'Daily Transactions'!$F$6:$F$500)</f>
        <v>0</v>
      </c>
      <c r="E18" s="17">
        <f>SUMPRODUCT(('Daily Transactions'!$B$6:$B$500=$B18)*('Daily Transactions'!$D$6:$D$500="Employee Salaries")*(($E$5=0)+(MONTH('Daily Transactions'!$A$6:$A$500)=$E$5))*(($E$6=0)+(YEAR('Daily Transactions'!$A$6:$A$500)=$E$6))*'Daily Transactions'!$F$6:$F$500)</f>
        <v>0</v>
      </c>
      <c r="F18" s="17">
        <f>SUMPRODUCT(('Daily Transactions'!$B$6:$B$500=$B18)*('Daily Transactions'!$D$6:$D$500="KPLC")*(($E$5=0)+(MONTH('Daily Transactions'!$A$6:$A$500)=$E$5))*(($E$6=0)+(YEAR('Daily Transactions'!$A$6:$A$500)=$E$6))*'Daily Transactions'!$F$6:$F$500)</f>
        <v>0</v>
      </c>
      <c r="G18" s="17">
        <f>SUMPRODUCT(('Daily Transactions'!$B$6:$B$500=$B18)*('Daily Transactions'!$D$6:$D$500="Wifi")*(($E$5=0)+(MONTH('Daily Transactions'!$A$6:$A$500)=$E$5))*(($E$6=0)+(YEAR('Daily Transactions'!$A$6:$A$500)=$E$6))*'Daily Transactions'!$F$6:$F$500)</f>
        <v>0</v>
      </c>
      <c r="H18" s="17">
        <f>SUMPRODUCT(('Daily Transactions'!$B$6:$B$500=$B18)*('Daily Transactions'!$D$6:$D$500="Rent")*(($E$5=0)+(MONTH('Daily Transactions'!$A$6:$A$500)=$E$5))*(($E$6=0)+(YEAR('Daily Transactions'!$A$6:$A$500)=$E$6))*'Daily Transactions'!$F$6:$F$500)</f>
        <v>0</v>
      </c>
      <c r="I18" s="17">
        <f>SUMPRODUCT(('Daily Transactions'!$B$6:$B$500=$B18)*('Daily Transactions'!$D$6:$D$500="Supplier Claims")*(($E$5=0)+(MONTH('Daily Transactions'!$A$6:$A$500)=$E$5))*(($E$6=0)+(YEAR('Daily Transactions'!$A$6:$A$500)=$E$6))*'Daily Transactions'!$F$6:$F$500)</f>
        <v>0</v>
      </c>
      <c r="J18" s="17">
        <f>SUMPRODUCT(('Daily Transactions'!$B$6:$B$500=$B18)*('Daily Transactions'!$D$6:$D$500="Other Expense")*(($E$5=0)+(MONTH('Daily Transactions'!$A$6:$A$500)=$E$5))*(($E$6=0)+(YEAR('Daily Transactions'!$A$6:$A$500)=$E$6))*'Daily Transactions'!$F$6:$F$500)</f>
        <v>0</v>
      </c>
      <c r="K18" s="17">
        <f t="shared" si="1"/>
        <v>0</v>
      </c>
    </row>
    <row r="19">
      <c r="A19" s="1"/>
      <c r="B19" s="19" t="s">
        <v>26</v>
      </c>
      <c r="C19" s="19" t="s">
        <v>27</v>
      </c>
      <c r="D19" s="20">
        <f>SUMPRODUCT(('Daily Transactions'!$B$6:$B$500=$B19)*('Daily Transactions'!$C$6:$C$500="Income")*(($E$5=0)+(MONTH('Daily Transactions'!$A$6:$A$500)=$E$5))*(($E$6=0)+(YEAR('Daily Transactions'!$A$6:$A$500)=$E$6))*'Daily Transactions'!$F$6:$F$500)</f>
        <v>0</v>
      </c>
      <c r="E19" s="20">
        <f>SUMPRODUCT(('Daily Transactions'!$B$6:$B$500=$B19)*('Daily Transactions'!$D$6:$D$500="Employee Salaries")*(($E$5=0)+(MONTH('Daily Transactions'!$A$6:$A$500)=$E$5))*(($E$6=0)+(YEAR('Daily Transactions'!$A$6:$A$500)=$E$6))*'Daily Transactions'!$F$6:$F$500)</f>
        <v>0</v>
      </c>
      <c r="F19" s="20">
        <f>SUMPRODUCT(('Daily Transactions'!$B$6:$B$500=$B19)*('Daily Transactions'!$D$6:$D$500="KPLC")*(($E$5=0)+(MONTH('Daily Transactions'!$A$6:$A$500)=$E$5))*(($E$6=0)+(YEAR('Daily Transactions'!$A$6:$A$500)=$E$6))*'Daily Transactions'!$F$6:$F$500)</f>
        <v>0</v>
      </c>
      <c r="G19" s="20">
        <f>SUMPRODUCT(('Daily Transactions'!$B$6:$B$500=$B19)*('Daily Transactions'!$D$6:$D$500="Wifi")*(($E$5=0)+(MONTH('Daily Transactions'!$A$6:$A$500)=$E$5))*(($E$6=0)+(YEAR('Daily Transactions'!$A$6:$A$500)=$E$6))*'Daily Transactions'!$F$6:$F$500)</f>
        <v>0</v>
      </c>
      <c r="H19" s="20">
        <f>SUMPRODUCT(('Daily Transactions'!$B$6:$B$500=$B19)*('Daily Transactions'!$D$6:$D$500="Rent")*(($E$5=0)+(MONTH('Daily Transactions'!$A$6:$A$500)=$E$5))*(($E$6=0)+(YEAR('Daily Transactions'!$A$6:$A$500)=$E$6))*'Daily Transactions'!$F$6:$F$500)</f>
        <v>0</v>
      </c>
      <c r="I19" s="20">
        <f>SUMPRODUCT(('Daily Transactions'!$B$6:$B$500=$B19)*('Daily Transactions'!$D$6:$D$500="Supplier Claims")*(($E$5=0)+(MONTH('Daily Transactions'!$A$6:$A$500)=$E$5))*(($E$6=0)+(YEAR('Daily Transactions'!$A$6:$A$500)=$E$6))*'Daily Transactions'!$F$6:$F$500)</f>
        <v>0</v>
      </c>
      <c r="J19" s="20">
        <f>SUMPRODUCT(('Daily Transactions'!$B$6:$B$500=$B19)*('Daily Transactions'!$D$6:$D$500="Other Expense")*(($E$5=0)+(MONTH('Daily Transactions'!$A$6:$A$500)=$E$5))*(($E$6=0)+(YEAR('Daily Transactions'!$A$6:$A$500)=$E$6))*'Daily Transactions'!$F$6:$F$500)</f>
        <v>0</v>
      </c>
      <c r="K19" s="20">
        <f t="shared" si="1"/>
        <v>0</v>
      </c>
    </row>
    <row r="20">
      <c r="A20" s="1"/>
      <c r="B20" s="16" t="s">
        <v>28</v>
      </c>
      <c r="C20" s="16" t="s">
        <v>29</v>
      </c>
      <c r="D20" s="17">
        <f>SUMPRODUCT(('Daily Transactions'!$B$6:$B$500=$B20)*('Daily Transactions'!$C$6:$C$500="Income")*(($E$5=0)+(MONTH('Daily Transactions'!$A$6:$A$500)=$E$5))*(($E$6=0)+(YEAR('Daily Transactions'!$A$6:$A$500)=$E$6))*'Daily Transactions'!$F$6:$F$500)</f>
        <v>0</v>
      </c>
      <c r="E20" s="17">
        <f>SUMPRODUCT(('Daily Transactions'!$B$6:$B$500=$B20)*('Daily Transactions'!$D$6:$D$500="Employee Salaries")*(($E$5=0)+(MONTH('Daily Transactions'!$A$6:$A$500)=$E$5))*(($E$6=0)+(YEAR('Daily Transactions'!$A$6:$A$500)=$E$6))*'Daily Transactions'!$F$6:$F$500)</f>
        <v>0</v>
      </c>
      <c r="F20" s="17">
        <f>SUMPRODUCT(('Daily Transactions'!$B$6:$B$500=$B20)*('Daily Transactions'!$D$6:$D$500="KPLC")*(($E$5=0)+(MONTH('Daily Transactions'!$A$6:$A$500)=$E$5))*(($E$6=0)+(YEAR('Daily Transactions'!$A$6:$A$500)=$E$6))*'Daily Transactions'!$F$6:$F$500)</f>
        <v>0</v>
      </c>
      <c r="G20" s="17">
        <f>SUMPRODUCT(('Daily Transactions'!$B$6:$B$500=$B20)*('Daily Transactions'!$D$6:$D$500="Wifi")*(($E$5=0)+(MONTH('Daily Transactions'!$A$6:$A$500)=$E$5))*(($E$6=0)+(YEAR('Daily Transactions'!$A$6:$A$500)=$E$6))*'Daily Transactions'!$F$6:$F$500)</f>
        <v>0</v>
      </c>
      <c r="H20" s="17">
        <f>SUMPRODUCT(('Daily Transactions'!$B$6:$B$500=$B20)*('Daily Transactions'!$D$6:$D$500="Rent")*(($E$5=0)+(MONTH('Daily Transactions'!$A$6:$A$500)=$E$5))*(($E$6=0)+(YEAR('Daily Transactions'!$A$6:$A$500)=$E$6))*'Daily Transactions'!$F$6:$F$500)</f>
        <v>0</v>
      </c>
      <c r="I20" s="17">
        <f>SUMPRODUCT(('Daily Transactions'!$B$6:$B$500=$B20)*('Daily Transactions'!$D$6:$D$500="Supplier Claims")*(($E$5=0)+(MONTH('Daily Transactions'!$A$6:$A$500)=$E$5))*(($E$6=0)+(YEAR('Daily Transactions'!$A$6:$A$500)=$E$6))*'Daily Transactions'!$F$6:$F$500)</f>
        <v>0</v>
      </c>
      <c r="J20" s="17">
        <f>SUMPRODUCT(('Daily Transactions'!$B$6:$B$500=$B20)*('Daily Transactions'!$D$6:$D$500="Other Expense")*(($E$5=0)+(MONTH('Daily Transactions'!$A$6:$A$500)=$E$5))*(($E$6=0)+(YEAR('Daily Transactions'!$A$6:$A$500)=$E$6))*'Daily Transactions'!$F$6:$F$500)</f>
        <v>0</v>
      </c>
      <c r="K20" s="17">
        <f t="shared" si="1"/>
        <v>0</v>
      </c>
    </row>
    <row r="21" ht="15.75" customHeight="1">
      <c r="A21" s="1"/>
      <c r="B21" s="19" t="s">
        <v>30</v>
      </c>
      <c r="C21" s="19" t="s">
        <v>31</v>
      </c>
      <c r="D21" s="20">
        <f>SUMPRODUCT(('Daily Transactions'!$B$6:$B$500=$B21)*('Daily Transactions'!$C$6:$C$500="Income")*(($E$5=0)+(MONTH('Daily Transactions'!$A$6:$A$500)=$E$5))*(($E$6=0)+(YEAR('Daily Transactions'!$A$6:$A$500)=$E$6))*'Daily Transactions'!$F$6:$F$500)</f>
        <v>0</v>
      </c>
      <c r="E21" s="20">
        <f>SUMPRODUCT(('Daily Transactions'!$B$6:$B$500=$B21)*('Daily Transactions'!$D$6:$D$500="Employee Salaries")*(($E$5=0)+(MONTH('Daily Transactions'!$A$6:$A$500)=$E$5))*(($E$6=0)+(YEAR('Daily Transactions'!$A$6:$A$500)=$E$6))*'Daily Transactions'!$F$6:$F$500)</f>
        <v>0</v>
      </c>
      <c r="F21" s="20">
        <f>SUMPRODUCT(('Daily Transactions'!$B$6:$B$500=$B21)*('Daily Transactions'!$D$6:$D$500="KPLC")*(($E$5=0)+(MONTH('Daily Transactions'!$A$6:$A$500)=$E$5))*(($E$6=0)+(YEAR('Daily Transactions'!$A$6:$A$500)=$E$6))*'Daily Transactions'!$F$6:$F$500)</f>
        <v>0</v>
      </c>
      <c r="G21" s="20">
        <f>SUMPRODUCT(('Daily Transactions'!$B$6:$B$500=$B21)*('Daily Transactions'!$D$6:$D$500="Wifi")*(($E$5=0)+(MONTH('Daily Transactions'!$A$6:$A$500)=$E$5))*(($E$6=0)+(YEAR('Daily Transactions'!$A$6:$A$500)=$E$6))*'Daily Transactions'!$F$6:$F$500)</f>
        <v>0</v>
      </c>
      <c r="H21" s="20">
        <f>SUMPRODUCT(('Daily Transactions'!$B$6:$B$500=$B21)*('Daily Transactions'!$D$6:$D$500="Rent")*(($E$5=0)+(MONTH('Daily Transactions'!$A$6:$A$500)=$E$5))*(($E$6=0)+(YEAR('Daily Transactions'!$A$6:$A$500)=$E$6))*'Daily Transactions'!$F$6:$F$500)</f>
        <v>0</v>
      </c>
      <c r="I21" s="20">
        <f>SUMPRODUCT(('Daily Transactions'!$B$6:$B$500=$B21)*('Daily Transactions'!$D$6:$D$500="Supplier Claims")*(($E$5=0)+(MONTH('Daily Transactions'!$A$6:$A$500)=$E$5))*(($E$6=0)+(YEAR('Daily Transactions'!$A$6:$A$500)=$E$6))*'Daily Transactions'!$F$6:$F$500)</f>
        <v>0</v>
      </c>
      <c r="J21" s="20">
        <f>SUMPRODUCT(('Daily Transactions'!$B$6:$B$500=$B21)*('Daily Transactions'!$D$6:$D$500="Other Expense")*(($E$5=0)+(MONTH('Daily Transactions'!$A$6:$A$500)=$E$5))*(($E$6=0)+(YEAR('Daily Transactions'!$A$6:$A$500)=$E$6))*'Daily Transactions'!$F$6:$F$500)</f>
        <v>0</v>
      </c>
      <c r="K21" s="20">
        <f t="shared" si="1"/>
        <v>0</v>
      </c>
    </row>
    <row r="22" ht="15.75" customHeight="1">
      <c r="A22" s="1"/>
      <c r="B22" s="16" t="s">
        <v>32</v>
      </c>
      <c r="C22" s="16" t="s">
        <v>23</v>
      </c>
      <c r="D22" s="17">
        <f>SUMPRODUCT(('Daily Transactions'!$B$6:$B$500=$B22)*('Daily Transactions'!$C$6:$C$500="Income")*(($E$5=0)+(MONTH('Daily Transactions'!$A$6:$A$500)=$E$5))*(($E$6=0)+(YEAR('Daily Transactions'!$A$6:$A$500)=$E$6))*'Daily Transactions'!$F$6:$F$500)</f>
        <v>0</v>
      </c>
      <c r="E22" s="17">
        <f>SUMPRODUCT(('Daily Transactions'!$B$6:$B$500=$B22)*('Daily Transactions'!$D$6:$D$500="Employee Salaries")*(($E$5=0)+(MONTH('Daily Transactions'!$A$6:$A$500)=$E$5))*(($E$6=0)+(YEAR('Daily Transactions'!$A$6:$A$500)=$E$6))*'Daily Transactions'!$F$6:$F$500)</f>
        <v>0</v>
      </c>
      <c r="F22" s="17">
        <f>SUMPRODUCT(('Daily Transactions'!$B$6:$B$500=$B22)*('Daily Transactions'!$D$6:$D$500="KPLC")*(($E$5=0)+(MONTH('Daily Transactions'!$A$6:$A$500)=$E$5))*(($E$6=0)+(YEAR('Daily Transactions'!$A$6:$A$500)=$E$6))*'Daily Transactions'!$F$6:$F$500)</f>
        <v>0</v>
      </c>
      <c r="G22" s="17">
        <f>SUMPRODUCT(('Daily Transactions'!$B$6:$B$500=$B22)*('Daily Transactions'!$D$6:$D$500="Wifi")*(($E$5=0)+(MONTH('Daily Transactions'!$A$6:$A$500)=$E$5))*(($E$6=0)+(YEAR('Daily Transactions'!$A$6:$A$500)=$E$6))*'Daily Transactions'!$F$6:$F$500)</f>
        <v>0</v>
      </c>
      <c r="H22" s="17">
        <f>SUMPRODUCT(('Daily Transactions'!$B$6:$B$500=$B22)*('Daily Transactions'!$D$6:$D$500="Rent")*(($E$5=0)+(MONTH('Daily Transactions'!$A$6:$A$500)=$E$5))*(($E$6=0)+(YEAR('Daily Transactions'!$A$6:$A$500)=$E$6))*'Daily Transactions'!$F$6:$F$500)</f>
        <v>0</v>
      </c>
      <c r="I22" s="17">
        <f>SUMPRODUCT(('Daily Transactions'!$B$6:$B$500=$B22)*('Daily Transactions'!$D$6:$D$500="Supplier Claims")*(($E$5=0)+(MONTH('Daily Transactions'!$A$6:$A$500)=$E$5))*(($E$6=0)+(YEAR('Daily Transactions'!$A$6:$A$500)=$E$6))*'Daily Transactions'!$F$6:$F$500)</f>
        <v>0</v>
      </c>
      <c r="J22" s="17">
        <f>SUMPRODUCT(('Daily Transactions'!$B$6:$B$500=$B22)*('Daily Transactions'!$D$6:$D$500="Other Expense")*(($E$5=0)+(MONTH('Daily Transactions'!$A$6:$A$500)=$E$5))*(($E$6=0)+(YEAR('Daily Transactions'!$A$6:$A$500)=$E$6))*'Daily Transactions'!$F$6:$F$500)</f>
        <v>0</v>
      </c>
      <c r="K22" s="17">
        <f t="shared" si="1"/>
        <v>0</v>
      </c>
    </row>
    <row r="23" ht="15.75" customHeight="1">
      <c r="A23" s="1"/>
      <c r="B23" s="19" t="s">
        <v>33</v>
      </c>
      <c r="C23" s="19" t="s">
        <v>21</v>
      </c>
      <c r="D23" s="20">
        <f>SUMPRODUCT(('Daily Transactions'!$B$6:$B$500=$B23)*('Daily Transactions'!$C$6:$C$500="Income")*(($E$5=0)+(MONTH('Daily Transactions'!$A$6:$A$500)=$E$5))*(($E$6=0)+(YEAR('Daily Transactions'!$A$6:$A$500)=$E$6))*'Daily Transactions'!$F$6:$F$500)</f>
        <v>0</v>
      </c>
      <c r="E23" s="20">
        <f>SUMPRODUCT(('Daily Transactions'!$B$6:$B$500=$B23)*('Daily Transactions'!$D$6:$D$500="Employee Salaries")*(($E$5=0)+(MONTH('Daily Transactions'!$A$6:$A$500)=$E$5))*(($E$6=0)+(YEAR('Daily Transactions'!$A$6:$A$500)=$E$6))*'Daily Transactions'!$F$6:$F$500)</f>
        <v>0</v>
      </c>
      <c r="F23" s="20">
        <f>SUMPRODUCT(('Daily Transactions'!$B$6:$B$500=$B23)*('Daily Transactions'!$D$6:$D$500="KPLC")*(($E$5=0)+(MONTH('Daily Transactions'!$A$6:$A$500)=$E$5))*(($E$6=0)+(YEAR('Daily Transactions'!$A$6:$A$500)=$E$6))*'Daily Transactions'!$F$6:$F$500)</f>
        <v>0</v>
      </c>
      <c r="G23" s="20">
        <f>SUMPRODUCT(('Daily Transactions'!$B$6:$B$500=$B23)*('Daily Transactions'!$D$6:$D$500="Wifi")*(($E$5=0)+(MONTH('Daily Transactions'!$A$6:$A$500)=$E$5))*(($E$6=0)+(YEAR('Daily Transactions'!$A$6:$A$500)=$E$6))*'Daily Transactions'!$F$6:$F$500)</f>
        <v>0</v>
      </c>
      <c r="H23" s="20">
        <f>SUMPRODUCT(('Daily Transactions'!$B$6:$B$500=$B23)*('Daily Transactions'!$D$6:$D$500="Rent")*(($E$5=0)+(MONTH('Daily Transactions'!$A$6:$A$500)=$E$5))*(($E$6=0)+(YEAR('Daily Transactions'!$A$6:$A$500)=$E$6))*'Daily Transactions'!$F$6:$F$500)</f>
        <v>0</v>
      </c>
      <c r="I23" s="20">
        <f>SUMPRODUCT(('Daily Transactions'!$B$6:$B$500=$B23)*('Daily Transactions'!$D$6:$D$500="Supplier Claims")*(($E$5=0)+(MONTH('Daily Transactions'!$A$6:$A$500)=$E$5))*(($E$6=0)+(YEAR('Daily Transactions'!$A$6:$A$500)=$E$6))*'Daily Transactions'!$F$6:$F$500)</f>
        <v>0</v>
      </c>
      <c r="J23" s="20">
        <f>SUMPRODUCT(('Daily Transactions'!$B$6:$B$500=$B23)*('Daily Transactions'!$D$6:$D$500="Other Expense")*(($E$5=0)+(MONTH('Daily Transactions'!$A$6:$A$500)=$E$5))*(($E$6=0)+(YEAR('Daily Transactions'!$A$6:$A$500)=$E$6))*'Daily Transactions'!$F$6:$F$500)</f>
        <v>0</v>
      </c>
      <c r="K23" s="20">
        <f t="shared" si="1"/>
        <v>0</v>
      </c>
    </row>
    <row r="24" ht="15.75" customHeight="1">
      <c r="A24" s="1"/>
      <c r="B24" s="21" t="s">
        <v>34</v>
      </c>
      <c r="C24" s="21"/>
      <c r="D24" s="22">
        <f t="shared" ref="D24:K24" si="2">SUM(D16:D23)</f>
        <v>0</v>
      </c>
      <c r="E24" s="22">
        <f t="shared" si="2"/>
        <v>0</v>
      </c>
      <c r="F24" s="22">
        <f t="shared" si="2"/>
        <v>0</v>
      </c>
      <c r="G24" s="22">
        <f t="shared" si="2"/>
        <v>0</v>
      </c>
      <c r="H24" s="22">
        <f t="shared" si="2"/>
        <v>0</v>
      </c>
      <c r="I24" s="22">
        <f t="shared" si="2"/>
        <v>0</v>
      </c>
      <c r="J24" s="22">
        <f t="shared" si="2"/>
        <v>0</v>
      </c>
      <c r="K24" s="22">
        <f t="shared" si="2"/>
        <v>0</v>
      </c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ht="15.75" customHeight="1">
      <c r="A46" s="1"/>
      <c r="B46" s="4" t="s">
        <v>35</v>
      </c>
      <c r="C46" s="4" t="s">
        <v>36</v>
      </c>
      <c r="D46" s="1"/>
      <c r="E46" s="1"/>
      <c r="F46" s="1"/>
      <c r="G46" s="1"/>
      <c r="H46" s="1"/>
      <c r="I46" s="1"/>
      <c r="J46" s="1"/>
      <c r="K46" s="1"/>
    </row>
    <row r="47" ht="15.75" customHeight="1">
      <c r="A47" s="1"/>
      <c r="B47" s="23" t="s">
        <v>37</v>
      </c>
      <c r="C47" s="24">
        <f>E24</f>
        <v>0</v>
      </c>
      <c r="D47" s="1"/>
      <c r="E47" s="1"/>
      <c r="F47" s="1"/>
      <c r="G47" s="1"/>
      <c r="H47" s="1"/>
      <c r="I47" s="1"/>
      <c r="J47" s="1"/>
      <c r="K47" s="1"/>
    </row>
    <row r="48" ht="15.75" customHeight="1">
      <c r="A48" s="1"/>
      <c r="B48" s="23" t="s">
        <v>14</v>
      </c>
      <c r="C48" s="24">
        <f>F24</f>
        <v>0</v>
      </c>
      <c r="D48" s="1"/>
      <c r="E48" s="1"/>
      <c r="F48" s="1"/>
      <c r="G48" s="1"/>
      <c r="H48" s="1"/>
      <c r="I48" s="1"/>
      <c r="J48" s="1"/>
      <c r="K48" s="1"/>
    </row>
    <row r="49" ht="15.75" customHeight="1">
      <c r="A49" s="1"/>
      <c r="B49" s="23" t="s">
        <v>15</v>
      </c>
      <c r="C49" s="24">
        <f>G24</f>
        <v>0</v>
      </c>
      <c r="D49" s="1"/>
      <c r="E49" s="1"/>
      <c r="F49" s="1"/>
      <c r="G49" s="1"/>
      <c r="H49" s="1"/>
      <c r="I49" s="1"/>
      <c r="J49" s="1"/>
      <c r="K49" s="1"/>
    </row>
    <row r="50" ht="15.75" customHeight="1">
      <c r="A50" s="1"/>
      <c r="B50" s="23" t="s">
        <v>16</v>
      </c>
      <c r="C50" s="24">
        <f>H24</f>
        <v>0</v>
      </c>
      <c r="D50" s="1"/>
      <c r="E50" s="1"/>
      <c r="F50" s="1"/>
      <c r="G50" s="1"/>
      <c r="H50" s="1"/>
      <c r="I50" s="1"/>
      <c r="J50" s="1"/>
      <c r="K50" s="1"/>
    </row>
    <row r="51" ht="15.75" customHeight="1">
      <c r="A51" s="1"/>
      <c r="B51" s="23" t="s">
        <v>17</v>
      </c>
      <c r="C51" s="24">
        <f>I24</f>
        <v>0</v>
      </c>
      <c r="D51" s="1"/>
      <c r="E51" s="1"/>
      <c r="F51" s="1"/>
      <c r="G51" s="1"/>
      <c r="H51" s="1"/>
      <c r="I51" s="1"/>
      <c r="J51" s="1"/>
      <c r="K51" s="1"/>
    </row>
    <row r="52" ht="15.75" customHeight="1">
      <c r="A52" s="1"/>
      <c r="B52" s="23" t="s">
        <v>38</v>
      </c>
      <c r="C52" s="24">
        <f>J24</f>
        <v>0</v>
      </c>
      <c r="D52" s="1"/>
      <c r="E52" s="1"/>
      <c r="F52" s="1"/>
      <c r="G52" s="1"/>
      <c r="H52" s="1"/>
      <c r="I52" s="1"/>
      <c r="J52" s="1"/>
      <c r="K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11">
    <mergeCell ref="H9:I9"/>
    <mergeCell ref="H10:I11"/>
    <mergeCell ref="E10:F11"/>
    <mergeCell ref="B14:K14"/>
    <mergeCell ref="B2:K2"/>
    <mergeCell ref="B3:K3"/>
    <mergeCell ref="B9:C9"/>
    <mergeCell ref="E9:F9"/>
    <mergeCell ref="K9:L9"/>
    <mergeCell ref="B10:C11"/>
    <mergeCell ref="K10:L1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18.0"/>
    <col customWidth="1" min="3" max="3" width="14.0"/>
    <col customWidth="1" min="4" max="5" width="2.0"/>
    <col customWidth="1" min="6" max="6" width="16.0"/>
    <col customWidth="1" min="7" max="7" width="2.0"/>
    <col customWidth="1" min="8" max="8" width="20.0"/>
    <col customWidth="1" min="9" max="9" width="2.0"/>
    <col customWidth="1" min="10" max="10" width="20.0"/>
    <col customWidth="1" min="11" max="11" width="2.0"/>
    <col customWidth="1" min="12" max="12" width="16.0"/>
    <col customWidth="1" min="13" max="13" width="2.0"/>
    <col customWidth="1" min="14" max="14" width="14.0"/>
    <col customWidth="1" min="15" max="15" width="8.71"/>
    <col customWidth="1" min="16" max="16" width="20.0"/>
    <col customWidth="1" min="17" max="17" width="16.0"/>
    <col customWidth="1" min="18" max="18" width="24.0"/>
    <col customWidth="1" min="19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P1" s="1"/>
      <c r="Q1" s="1"/>
      <c r="R1" s="1"/>
    </row>
    <row r="2" ht="21.75" customHeight="1">
      <c r="A2" s="1"/>
      <c r="B2" s="2" t="s">
        <v>39</v>
      </c>
      <c r="E2" s="1"/>
      <c r="F2" s="1"/>
      <c r="G2" s="1"/>
      <c r="H2" s="1"/>
      <c r="I2" s="1"/>
      <c r="J2" s="1"/>
      <c r="K2" s="1"/>
      <c r="L2" s="1"/>
      <c r="M2" s="1"/>
      <c r="N2" s="1"/>
      <c r="P2" s="1"/>
      <c r="Q2" s="1"/>
      <c r="R2" s="1"/>
    </row>
    <row r="3" ht="15.0" customHeight="1">
      <c r="A3" s="1"/>
      <c r="B3" s="3" t="s">
        <v>40</v>
      </c>
      <c r="E3" s="1"/>
      <c r="F3" s="1"/>
      <c r="G3" s="1"/>
      <c r="H3" s="1"/>
      <c r="I3" s="1"/>
      <c r="J3" s="1"/>
      <c r="K3" s="1"/>
      <c r="L3" s="1"/>
      <c r="M3" s="1"/>
      <c r="N3" s="1"/>
      <c r="P3" s="1"/>
      <c r="Q3" s="1"/>
      <c r="R3" s="1"/>
    </row>
    <row r="4" ht="15.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P4" s="4" t="s">
        <v>41</v>
      </c>
    </row>
    <row r="5" ht="26.25" customHeight="1">
      <c r="A5" s="1"/>
      <c r="B5" s="15" t="s">
        <v>10</v>
      </c>
      <c r="C5" s="15" t="s">
        <v>11</v>
      </c>
      <c r="D5" s="1"/>
      <c r="E5" s="1"/>
      <c r="F5" s="15" t="s">
        <v>42</v>
      </c>
      <c r="G5" s="1"/>
      <c r="H5" s="15" t="s">
        <v>43</v>
      </c>
      <c r="I5" s="1"/>
      <c r="J5" s="15" t="s">
        <v>35</v>
      </c>
      <c r="K5" s="1"/>
      <c r="L5" s="15" t="s">
        <v>44</v>
      </c>
      <c r="M5" s="1"/>
      <c r="N5" s="15" t="s">
        <v>45</v>
      </c>
      <c r="P5" s="15" t="s">
        <v>46</v>
      </c>
      <c r="Q5" s="15" t="s">
        <v>10</v>
      </c>
      <c r="R5" s="15" t="s">
        <v>47</v>
      </c>
    </row>
    <row r="6" ht="15.0" customHeight="1">
      <c r="A6" s="1"/>
      <c r="B6" s="16" t="s">
        <v>20</v>
      </c>
      <c r="C6" s="16" t="s">
        <v>21</v>
      </c>
      <c r="D6" s="1"/>
      <c r="E6" s="1"/>
      <c r="F6" s="16" t="s">
        <v>12</v>
      </c>
      <c r="G6" s="1"/>
      <c r="H6" s="16" t="s">
        <v>48</v>
      </c>
      <c r="I6" s="1"/>
      <c r="J6" s="16" t="s">
        <v>37</v>
      </c>
      <c r="K6" s="1"/>
      <c r="L6" s="16" t="s">
        <v>49</v>
      </c>
      <c r="M6" s="1"/>
      <c r="N6" s="16" t="s">
        <v>50</v>
      </c>
      <c r="P6" s="25" t="s">
        <v>51</v>
      </c>
      <c r="Q6" s="25" t="s">
        <v>20</v>
      </c>
      <c r="R6" s="26" t="str">
        <f t="shared" ref="R6:R55" si="1">IF(P6="","",P6&amp;" ("&amp;Q6&amp;")")</f>
        <v>Jane Wanjiru (China Ndogo)</v>
      </c>
    </row>
    <row r="7" ht="15.0" customHeight="1">
      <c r="A7" s="1"/>
      <c r="B7" s="27" t="s">
        <v>22</v>
      </c>
      <c r="C7" s="16" t="s">
        <v>23</v>
      </c>
      <c r="D7" s="1"/>
      <c r="E7" s="1"/>
      <c r="F7" s="16" t="s">
        <v>52</v>
      </c>
      <c r="G7" s="1"/>
      <c r="H7" s="16" t="s">
        <v>53</v>
      </c>
      <c r="I7" s="1"/>
      <c r="J7" s="16" t="s">
        <v>14</v>
      </c>
      <c r="K7" s="1"/>
      <c r="L7" s="16" t="s">
        <v>54</v>
      </c>
      <c r="M7" s="1"/>
      <c r="N7" s="16" t="s">
        <v>55</v>
      </c>
      <c r="P7" s="25" t="s">
        <v>56</v>
      </c>
      <c r="Q7" s="25" t="s">
        <v>20</v>
      </c>
      <c r="R7" s="26" t="str">
        <f t="shared" si="1"/>
        <v>Peter Otieno (China Ndogo)</v>
      </c>
    </row>
    <row r="8" ht="15.0" customHeight="1">
      <c r="A8" s="1"/>
      <c r="B8" s="16" t="s">
        <v>24</v>
      </c>
      <c r="C8" s="16" t="s">
        <v>25</v>
      </c>
      <c r="D8" s="1"/>
      <c r="E8" s="1"/>
      <c r="F8" s="1"/>
      <c r="G8" s="1"/>
      <c r="H8" s="16" t="s">
        <v>57</v>
      </c>
      <c r="I8" s="1"/>
      <c r="J8" s="16" t="s">
        <v>15</v>
      </c>
      <c r="K8" s="1"/>
      <c r="L8" s="16" t="s">
        <v>58</v>
      </c>
      <c r="M8" s="1"/>
      <c r="N8" s="16" t="s">
        <v>59</v>
      </c>
      <c r="P8" s="25" t="s">
        <v>60</v>
      </c>
      <c r="Q8" s="28" t="s">
        <v>22</v>
      </c>
      <c r="R8" s="26" t="str">
        <f t="shared" si="1"/>
        <v>Mary Chebet (Yhe Cut)</v>
      </c>
    </row>
    <row r="9" ht="15.0" customHeight="1">
      <c r="A9" s="1"/>
      <c r="B9" s="16" t="s">
        <v>26</v>
      </c>
      <c r="C9" s="16" t="s">
        <v>27</v>
      </c>
      <c r="D9" s="1"/>
      <c r="E9" s="1"/>
      <c r="F9" s="1"/>
      <c r="G9" s="1"/>
      <c r="H9" s="16" t="s">
        <v>61</v>
      </c>
      <c r="I9" s="1"/>
      <c r="J9" s="16" t="s">
        <v>16</v>
      </c>
      <c r="K9" s="1"/>
      <c r="L9" s="16" t="s">
        <v>62</v>
      </c>
      <c r="M9" s="1"/>
      <c r="N9" s="1"/>
      <c r="P9" s="25" t="s">
        <v>63</v>
      </c>
      <c r="Q9" s="25" t="s">
        <v>24</v>
      </c>
      <c r="R9" s="26" t="str">
        <f t="shared" si="1"/>
        <v>Samuel Kiptoo (Heri Ads)</v>
      </c>
    </row>
    <row r="10" ht="15.0" customHeight="1">
      <c r="A10" s="1"/>
      <c r="B10" s="16" t="s">
        <v>28</v>
      </c>
      <c r="C10" s="16" t="s">
        <v>29</v>
      </c>
      <c r="D10" s="1"/>
      <c r="E10" s="1"/>
      <c r="F10" s="1"/>
      <c r="G10" s="1"/>
      <c r="H10" s="1"/>
      <c r="I10" s="1"/>
      <c r="J10" s="16" t="s">
        <v>17</v>
      </c>
      <c r="K10" s="1"/>
      <c r="L10" s="1"/>
      <c r="M10" s="1"/>
      <c r="N10" s="1"/>
      <c r="P10" s="25" t="s">
        <v>64</v>
      </c>
      <c r="Q10" s="25" t="s">
        <v>26</v>
      </c>
      <c r="R10" s="26" t="str">
        <f t="shared" si="1"/>
        <v>Grace Naliaka (Brands Point)</v>
      </c>
    </row>
    <row r="11" ht="15.0" customHeight="1">
      <c r="A11" s="1"/>
      <c r="B11" s="16" t="s">
        <v>30</v>
      </c>
      <c r="C11" s="16" t="s">
        <v>31</v>
      </c>
      <c r="D11" s="1"/>
      <c r="E11" s="1"/>
      <c r="F11" s="1"/>
      <c r="G11" s="1"/>
      <c r="H11" s="1"/>
      <c r="I11" s="1"/>
      <c r="J11" s="16" t="s">
        <v>65</v>
      </c>
      <c r="K11" s="1"/>
      <c r="L11" s="1"/>
      <c r="M11" s="1"/>
      <c r="N11" s="1"/>
      <c r="P11" s="25" t="s">
        <v>66</v>
      </c>
      <c r="Q11" s="25" t="s">
        <v>28</v>
      </c>
      <c r="R11" s="26" t="str">
        <f t="shared" si="1"/>
        <v>David Mwangi (Lytus)</v>
      </c>
    </row>
    <row r="12" ht="15.0" customHeight="1">
      <c r="A12" s="1"/>
      <c r="B12" s="16" t="s">
        <v>32</v>
      </c>
      <c r="C12" s="16" t="s">
        <v>23</v>
      </c>
      <c r="D12" s="1"/>
      <c r="E12" s="1"/>
      <c r="F12" s="1"/>
      <c r="G12" s="1"/>
      <c r="H12" s="1"/>
      <c r="I12" s="1"/>
      <c r="J12" s="16" t="s">
        <v>67</v>
      </c>
      <c r="K12" s="1"/>
      <c r="L12" s="1"/>
      <c r="M12" s="1"/>
      <c r="N12" s="1"/>
      <c r="P12" s="25" t="s">
        <v>68</v>
      </c>
      <c r="Q12" s="25" t="s">
        <v>30</v>
      </c>
      <c r="R12" s="26" t="str">
        <f t="shared" si="1"/>
        <v>Alice Njeri (BNB Milimani)</v>
      </c>
    </row>
    <row r="13" ht="15.0" customHeight="1">
      <c r="A13" s="1"/>
      <c r="B13" s="16" t="s">
        <v>33</v>
      </c>
      <c r="C13" s="16" t="s">
        <v>21</v>
      </c>
      <c r="D13" s="1"/>
      <c r="E13" s="1"/>
      <c r="F13" s="1"/>
      <c r="G13" s="1"/>
      <c r="H13" s="1"/>
      <c r="I13" s="1"/>
      <c r="J13" s="16" t="s">
        <v>69</v>
      </c>
      <c r="K13" s="1"/>
      <c r="L13" s="1"/>
      <c r="M13" s="1"/>
      <c r="N13" s="1"/>
      <c r="P13" s="29"/>
      <c r="Q13" s="29"/>
      <c r="R13" s="26" t="str">
        <f t="shared" si="1"/>
        <v/>
      </c>
    </row>
    <row r="14" ht="15.0" customHeight="1">
      <c r="A14" s="1"/>
      <c r="B14" s="1"/>
      <c r="C14" s="1"/>
      <c r="D14" s="1"/>
      <c r="E14" s="1"/>
      <c r="F14" s="1"/>
      <c r="G14" s="1"/>
      <c r="H14" s="1"/>
      <c r="I14" s="1"/>
      <c r="J14" s="16" t="s">
        <v>38</v>
      </c>
      <c r="K14" s="1"/>
      <c r="L14" s="1"/>
      <c r="M14" s="1"/>
      <c r="N14" s="1"/>
      <c r="P14" s="29"/>
      <c r="Q14" s="29"/>
      <c r="R14" s="26" t="str">
        <f t="shared" si="1"/>
        <v/>
      </c>
    </row>
    <row r="15" ht="15.0" customHeight="1">
      <c r="A15" s="1"/>
      <c r="B15" s="1"/>
      <c r="C15" s="1"/>
      <c r="D15" s="1"/>
      <c r="E15" s="1"/>
      <c r="F15" s="1"/>
      <c r="G15" s="1"/>
      <c r="H15" s="1"/>
      <c r="I15" s="1"/>
      <c r="J15" s="30" t="s">
        <v>70</v>
      </c>
      <c r="L15" s="1"/>
      <c r="M15" s="1"/>
      <c r="N15" s="1"/>
      <c r="P15" s="29"/>
      <c r="Q15" s="29"/>
      <c r="R15" s="26" t="str">
        <f t="shared" si="1"/>
        <v/>
      </c>
    </row>
    <row r="16" ht="15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P16" s="29"/>
      <c r="Q16" s="29"/>
      <c r="R16" s="26" t="str">
        <f t="shared" si="1"/>
        <v/>
      </c>
    </row>
    <row r="17" ht="15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P17" s="29"/>
      <c r="Q17" s="29"/>
      <c r="R17" s="26" t="str">
        <f t="shared" si="1"/>
        <v/>
      </c>
    </row>
    <row r="18" ht="15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P18" s="29"/>
      <c r="Q18" s="29"/>
      <c r="R18" s="26" t="str">
        <f t="shared" si="1"/>
        <v/>
      </c>
    </row>
    <row r="19" ht="15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P19" s="29"/>
      <c r="Q19" s="29"/>
      <c r="R19" s="26" t="str">
        <f t="shared" si="1"/>
        <v/>
      </c>
    </row>
    <row r="20" ht="15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P20" s="29"/>
      <c r="Q20" s="29"/>
      <c r="R20" s="26" t="str">
        <f t="shared" si="1"/>
        <v/>
      </c>
    </row>
    <row r="21" ht="15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P21" s="29"/>
      <c r="Q21" s="29"/>
      <c r="R21" s="26" t="str">
        <f t="shared" si="1"/>
        <v/>
      </c>
    </row>
    <row r="22" ht="15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P22" s="29"/>
      <c r="Q22" s="29"/>
      <c r="R22" s="26" t="str">
        <f t="shared" si="1"/>
        <v/>
      </c>
    </row>
    <row r="23" ht="15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P23" s="29"/>
      <c r="Q23" s="29"/>
      <c r="R23" s="26" t="str">
        <f t="shared" si="1"/>
        <v/>
      </c>
    </row>
    <row r="24" ht="15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P24" s="29"/>
      <c r="Q24" s="29"/>
      <c r="R24" s="26" t="str">
        <f t="shared" si="1"/>
        <v/>
      </c>
    </row>
    <row r="25" ht="15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P25" s="29"/>
      <c r="Q25" s="29"/>
      <c r="R25" s="26" t="str">
        <f t="shared" si="1"/>
        <v/>
      </c>
    </row>
    <row r="26" ht="15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P26" s="29"/>
      <c r="Q26" s="29"/>
      <c r="R26" s="26" t="str">
        <f t="shared" si="1"/>
        <v/>
      </c>
    </row>
    <row r="27" ht="15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P27" s="29"/>
      <c r="Q27" s="29"/>
      <c r="R27" s="26" t="str">
        <f t="shared" si="1"/>
        <v/>
      </c>
    </row>
    <row r="28" ht="15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P28" s="29"/>
      <c r="Q28" s="29"/>
      <c r="R28" s="26" t="str">
        <f t="shared" si="1"/>
        <v/>
      </c>
    </row>
    <row r="29" ht="15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P29" s="29"/>
      <c r="Q29" s="29"/>
      <c r="R29" s="26" t="str">
        <f t="shared" si="1"/>
        <v/>
      </c>
    </row>
    <row r="30" ht="15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P30" s="29"/>
      <c r="Q30" s="29"/>
      <c r="R30" s="26" t="str">
        <f t="shared" si="1"/>
        <v/>
      </c>
    </row>
    <row r="31" ht="15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P31" s="29"/>
      <c r="Q31" s="29"/>
      <c r="R31" s="26" t="str">
        <f t="shared" si="1"/>
        <v/>
      </c>
    </row>
    <row r="32" ht="15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P32" s="29"/>
      <c r="Q32" s="29"/>
      <c r="R32" s="26" t="str">
        <f t="shared" si="1"/>
        <v/>
      </c>
    </row>
    <row r="33" ht="15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P33" s="29"/>
      <c r="Q33" s="29"/>
      <c r="R33" s="26" t="str">
        <f t="shared" si="1"/>
        <v/>
      </c>
    </row>
    <row r="34" ht="15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P34" s="29"/>
      <c r="Q34" s="29"/>
      <c r="R34" s="26" t="str">
        <f t="shared" si="1"/>
        <v/>
      </c>
    </row>
    <row r="35" ht="15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P35" s="29"/>
      <c r="Q35" s="29"/>
      <c r="R35" s="26" t="str">
        <f t="shared" si="1"/>
        <v/>
      </c>
    </row>
    <row r="36" ht="15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P36" s="29"/>
      <c r="Q36" s="29"/>
      <c r="R36" s="26" t="str">
        <f t="shared" si="1"/>
        <v/>
      </c>
    </row>
    <row r="37" ht="15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P37" s="29"/>
      <c r="Q37" s="29"/>
      <c r="R37" s="26" t="str">
        <f t="shared" si="1"/>
        <v/>
      </c>
    </row>
    <row r="38" ht="15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P38" s="29"/>
      <c r="Q38" s="29"/>
      <c r="R38" s="26" t="str">
        <f t="shared" si="1"/>
        <v/>
      </c>
    </row>
    <row r="39" ht="15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P39" s="29"/>
      <c r="Q39" s="29"/>
      <c r="R39" s="26" t="str">
        <f t="shared" si="1"/>
        <v/>
      </c>
    </row>
    <row r="40" ht="15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P40" s="29"/>
      <c r="Q40" s="29"/>
      <c r="R40" s="26" t="str">
        <f t="shared" si="1"/>
        <v/>
      </c>
    </row>
    <row r="41" ht="15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P41" s="29"/>
      <c r="Q41" s="29"/>
      <c r="R41" s="26" t="str">
        <f t="shared" si="1"/>
        <v/>
      </c>
    </row>
    <row r="42" ht="15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P42" s="29"/>
      <c r="Q42" s="29"/>
      <c r="R42" s="26" t="str">
        <f t="shared" si="1"/>
        <v/>
      </c>
    </row>
    <row r="43" ht="15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P43" s="29"/>
      <c r="Q43" s="29"/>
      <c r="R43" s="26" t="str">
        <f t="shared" si="1"/>
        <v/>
      </c>
    </row>
    <row r="44" ht="15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P44" s="29"/>
      <c r="Q44" s="29"/>
      <c r="R44" s="26" t="str">
        <f t="shared" si="1"/>
        <v/>
      </c>
    </row>
    <row r="45" ht="15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P45" s="29"/>
      <c r="Q45" s="29"/>
      <c r="R45" s="26" t="str">
        <f t="shared" si="1"/>
        <v/>
      </c>
    </row>
    <row r="46" ht="15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P46" s="29"/>
      <c r="Q46" s="29"/>
      <c r="R46" s="26" t="str">
        <f t="shared" si="1"/>
        <v/>
      </c>
    </row>
    <row r="47" ht="15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P47" s="29"/>
      <c r="Q47" s="29"/>
      <c r="R47" s="26" t="str">
        <f t="shared" si="1"/>
        <v/>
      </c>
    </row>
    <row r="48" ht="15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P48" s="29"/>
      <c r="Q48" s="29"/>
      <c r="R48" s="26" t="str">
        <f t="shared" si="1"/>
        <v/>
      </c>
    </row>
    <row r="49" ht="15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P49" s="29"/>
      <c r="Q49" s="29"/>
      <c r="R49" s="26" t="str">
        <f t="shared" si="1"/>
        <v/>
      </c>
    </row>
    <row r="50" ht="15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P50" s="29"/>
      <c r="Q50" s="29"/>
      <c r="R50" s="26" t="str">
        <f t="shared" si="1"/>
        <v/>
      </c>
    </row>
    <row r="51" ht="15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P51" s="29"/>
      <c r="Q51" s="29"/>
      <c r="R51" s="26" t="str">
        <f t="shared" si="1"/>
        <v/>
      </c>
    </row>
    <row r="52" ht="15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P52" s="29"/>
      <c r="Q52" s="29"/>
      <c r="R52" s="26" t="str">
        <f t="shared" si="1"/>
        <v/>
      </c>
    </row>
    <row r="53" ht="15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P53" s="29"/>
      <c r="Q53" s="29"/>
      <c r="R53" s="26" t="str">
        <f t="shared" si="1"/>
        <v/>
      </c>
    </row>
    <row r="54" ht="15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P54" s="29"/>
      <c r="Q54" s="29"/>
      <c r="R54" s="26" t="str">
        <f t="shared" si="1"/>
        <v/>
      </c>
    </row>
    <row r="55" ht="15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P55" s="29"/>
      <c r="Q55" s="29"/>
      <c r="R55" s="26" t="str">
        <f t="shared" si="1"/>
        <v/>
      </c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P56" s="1"/>
      <c r="Q56" s="1"/>
      <c r="R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P57" s="1"/>
      <c r="Q57" s="1"/>
      <c r="R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P58" s="1"/>
      <c r="Q58" s="1"/>
      <c r="R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P59" s="1"/>
      <c r="Q59" s="1"/>
      <c r="R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P60" s="1"/>
      <c r="Q60" s="1"/>
      <c r="R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P61" s="1"/>
      <c r="Q61" s="1"/>
      <c r="R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P62" s="1"/>
      <c r="Q62" s="1"/>
      <c r="R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P63" s="1"/>
      <c r="Q63" s="1"/>
      <c r="R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P64" s="1"/>
      <c r="Q64" s="1"/>
      <c r="R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P65" s="1"/>
      <c r="Q65" s="1"/>
      <c r="R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P66" s="1"/>
      <c r="Q66" s="1"/>
      <c r="R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P67" s="1"/>
      <c r="Q67" s="1"/>
      <c r="R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P68" s="1"/>
      <c r="Q68" s="1"/>
      <c r="R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P69" s="1"/>
      <c r="Q69" s="1"/>
      <c r="R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P70" s="1"/>
      <c r="Q70" s="1"/>
      <c r="R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P71" s="1"/>
      <c r="Q71" s="1"/>
      <c r="R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P72" s="1"/>
      <c r="Q72" s="1"/>
      <c r="R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P73" s="1"/>
      <c r="Q73" s="1"/>
      <c r="R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P74" s="1"/>
      <c r="Q74" s="1"/>
      <c r="R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P75" s="1"/>
      <c r="Q75" s="1"/>
      <c r="R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P76" s="1"/>
      <c r="Q76" s="1"/>
      <c r="R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P77" s="1"/>
      <c r="Q77" s="1"/>
      <c r="R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P78" s="1"/>
      <c r="Q78" s="1"/>
      <c r="R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P79" s="1"/>
      <c r="Q79" s="1"/>
      <c r="R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P80" s="1"/>
      <c r="Q80" s="1"/>
      <c r="R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P81" s="1"/>
      <c r="Q81" s="1"/>
      <c r="R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P82" s="1"/>
      <c r="Q82" s="1"/>
      <c r="R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P83" s="1"/>
      <c r="Q83" s="1"/>
      <c r="R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P84" s="1"/>
      <c r="Q84" s="1"/>
      <c r="R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P85" s="1"/>
      <c r="Q85" s="1"/>
      <c r="R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P86" s="1"/>
      <c r="Q86" s="1"/>
      <c r="R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P87" s="1"/>
      <c r="Q87" s="1"/>
      <c r="R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P88" s="1"/>
      <c r="Q88" s="1"/>
      <c r="R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P89" s="1"/>
      <c r="Q89" s="1"/>
      <c r="R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P90" s="1"/>
      <c r="Q90" s="1"/>
      <c r="R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P91" s="1"/>
      <c r="Q91" s="1"/>
      <c r="R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P92" s="1"/>
      <c r="Q92" s="1"/>
      <c r="R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P93" s="1"/>
      <c r="Q93" s="1"/>
      <c r="R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P94" s="1"/>
      <c r="Q94" s="1"/>
      <c r="R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P95" s="1"/>
      <c r="Q95" s="1"/>
      <c r="R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P96" s="1"/>
      <c r="Q96" s="1"/>
      <c r="R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P100" s="1"/>
      <c r="Q100" s="1"/>
      <c r="R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P101" s="1"/>
      <c r="Q101" s="1"/>
      <c r="R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P102" s="1"/>
      <c r="Q102" s="1"/>
      <c r="R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P103" s="1"/>
      <c r="Q103" s="1"/>
      <c r="R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P104" s="1"/>
      <c r="Q104" s="1"/>
      <c r="R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P105" s="1"/>
      <c r="Q105" s="1"/>
      <c r="R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P106" s="1"/>
      <c r="Q106" s="1"/>
      <c r="R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P107" s="1"/>
      <c r="Q107" s="1"/>
      <c r="R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P108" s="1"/>
      <c r="Q108" s="1"/>
      <c r="R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P109" s="1"/>
      <c r="Q109" s="1"/>
      <c r="R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P110" s="1"/>
      <c r="Q110" s="1"/>
      <c r="R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P111" s="1"/>
      <c r="Q111" s="1"/>
      <c r="R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P112" s="1"/>
      <c r="Q112" s="1"/>
      <c r="R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P113" s="1"/>
      <c r="Q113" s="1"/>
      <c r="R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P114" s="1"/>
      <c r="Q114" s="1"/>
      <c r="R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P115" s="1"/>
      <c r="Q115" s="1"/>
      <c r="R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P116" s="1"/>
      <c r="Q116" s="1"/>
      <c r="R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P117" s="1"/>
      <c r="Q117" s="1"/>
      <c r="R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P118" s="1"/>
      <c r="Q118" s="1"/>
      <c r="R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P119" s="1"/>
      <c r="Q119" s="1"/>
      <c r="R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P120" s="1"/>
      <c r="Q120" s="1"/>
      <c r="R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P121" s="1"/>
      <c r="Q121" s="1"/>
      <c r="R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P122" s="1"/>
      <c r="Q122" s="1"/>
      <c r="R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P123" s="1"/>
      <c r="Q123" s="1"/>
      <c r="R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P124" s="1"/>
      <c r="Q124" s="1"/>
      <c r="R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P125" s="1"/>
      <c r="Q125" s="1"/>
      <c r="R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P126" s="1"/>
      <c r="Q126" s="1"/>
      <c r="R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P127" s="1"/>
      <c r="Q127" s="1"/>
      <c r="R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P128" s="1"/>
      <c r="Q128" s="1"/>
      <c r="R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P129" s="1"/>
      <c r="Q129" s="1"/>
      <c r="R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P130" s="1"/>
      <c r="Q130" s="1"/>
      <c r="R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P131" s="1"/>
      <c r="Q131" s="1"/>
      <c r="R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P132" s="1"/>
      <c r="Q132" s="1"/>
      <c r="R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P133" s="1"/>
      <c r="Q133" s="1"/>
      <c r="R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P134" s="1"/>
      <c r="Q134" s="1"/>
      <c r="R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P135" s="1"/>
      <c r="Q135" s="1"/>
      <c r="R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P136" s="1"/>
      <c r="Q136" s="1"/>
      <c r="R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P137" s="1"/>
      <c r="Q137" s="1"/>
      <c r="R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P138" s="1"/>
      <c r="Q138" s="1"/>
      <c r="R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P139" s="1"/>
      <c r="Q139" s="1"/>
      <c r="R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P140" s="1"/>
      <c r="Q140" s="1"/>
      <c r="R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P141" s="1"/>
      <c r="Q141" s="1"/>
      <c r="R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P142" s="1"/>
      <c r="Q142" s="1"/>
      <c r="R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P143" s="1"/>
      <c r="Q143" s="1"/>
      <c r="R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P144" s="1"/>
      <c r="Q144" s="1"/>
      <c r="R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P145" s="1"/>
      <c r="Q145" s="1"/>
      <c r="R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P146" s="1"/>
      <c r="Q146" s="1"/>
      <c r="R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P147" s="1"/>
      <c r="Q147" s="1"/>
      <c r="R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P148" s="1"/>
      <c r="Q148" s="1"/>
      <c r="R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P149" s="1"/>
      <c r="Q149" s="1"/>
      <c r="R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P150" s="1"/>
      <c r="Q150" s="1"/>
      <c r="R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P151" s="1"/>
      <c r="Q151" s="1"/>
      <c r="R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P152" s="1"/>
      <c r="Q152" s="1"/>
      <c r="R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P153" s="1"/>
      <c r="Q153" s="1"/>
      <c r="R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P154" s="1"/>
      <c r="Q154" s="1"/>
      <c r="R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P155" s="1"/>
      <c r="Q155" s="1"/>
      <c r="R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P156" s="1"/>
      <c r="Q156" s="1"/>
      <c r="R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P157" s="1"/>
      <c r="Q157" s="1"/>
      <c r="R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P158" s="1"/>
      <c r="Q158" s="1"/>
      <c r="R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P159" s="1"/>
      <c r="Q159" s="1"/>
      <c r="R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P160" s="1"/>
      <c r="Q160" s="1"/>
      <c r="R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P161" s="1"/>
      <c r="Q161" s="1"/>
      <c r="R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P162" s="1"/>
      <c r="Q162" s="1"/>
      <c r="R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P163" s="1"/>
      <c r="Q163" s="1"/>
      <c r="R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P164" s="1"/>
      <c r="Q164" s="1"/>
      <c r="R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P165" s="1"/>
      <c r="Q165" s="1"/>
      <c r="R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P166" s="1"/>
      <c r="Q166" s="1"/>
      <c r="R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P167" s="1"/>
      <c r="Q167" s="1"/>
      <c r="R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P168" s="1"/>
      <c r="Q168" s="1"/>
      <c r="R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P169" s="1"/>
      <c r="Q169" s="1"/>
      <c r="R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P170" s="1"/>
      <c r="Q170" s="1"/>
      <c r="R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P171" s="1"/>
      <c r="Q171" s="1"/>
      <c r="R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P172" s="1"/>
      <c r="Q172" s="1"/>
      <c r="R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P173" s="1"/>
      <c r="Q173" s="1"/>
      <c r="R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P174" s="1"/>
      <c r="Q174" s="1"/>
      <c r="R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P175" s="1"/>
      <c r="Q175" s="1"/>
      <c r="R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P176" s="1"/>
      <c r="Q176" s="1"/>
      <c r="R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P177" s="1"/>
      <c r="Q177" s="1"/>
      <c r="R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P178" s="1"/>
      <c r="Q178" s="1"/>
      <c r="R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P179" s="1"/>
      <c r="Q179" s="1"/>
      <c r="R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P180" s="1"/>
      <c r="Q180" s="1"/>
      <c r="R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P181" s="1"/>
      <c r="Q181" s="1"/>
      <c r="R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P182" s="1"/>
      <c r="Q182" s="1"/>
      <c r="R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P183" s="1"/>
      <c r="Q183" s="1"/>
      <c r="R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P184" s="1"/>
      <c r="Q184" s="1"/>
      <c r="R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P185" s="1"/>
      <c r="Q185" s="1"/>
      <c r="R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P186" s="1"/>
      <c r="Q186" s="1"/>
      <c r="R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P187" s="1"/>
      <c r="Q187" s="1"/>
      <c r="R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P188" s="1"/>
      <c r="Q188" s="1"/>
      <c r="R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P189" s="1"/>
      <c r="Q189" s="1"/>
      <c r="R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P190" s="1"/>
      <c r="Q190" s="1"/>
      <c r="R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P191" s="1"/>
      <c r="Q191" s="1"/>
      <c r="R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P192" s="1"/>
      <c r="Q192" s="1"/>
      <c r="R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P193" s="1"/>
      <c r="Q193" s="1"/>
      <c r="R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P194" s="1"/>
      <c r="Q194" s="1"/>
      <c r="R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P195" s="1"/>
      <c r="Q195" s="1"/>
      <c r="R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P196" s="1"/>
      <c r="Q196" s="1"/>
      <c r="R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P197" s="1"/>
      <c r="Q197" s="1"/>
      <c r="R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P198" s="1"/>
      <c r="Q198" s="1"/>
      <c r="R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P199" s="1"/>
      <c r="Q199" s="1"/>
      <c r="R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P200" s="1"/>
      <c r="Q200" s="1"/>
      <c r="R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P201" s="1"/>
      <c r="Q201" s="1"/>
      <c r="R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P202" s="1"/>
      <c r="Q202" s="1"/>
      <c r="R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P203" s="1"/>
      <c r="Q203" s="1"/>
      <c r="R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P204" s="1"/>
      <c r="Q204" s="1"/>
      <c r="R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P205" s="1"/>
      <c r="Q205" s="1"/>
      <c r="R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P206" s="1"/>
      <c r="Q206" s="1"/>
      <c r="R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P207" s="1"/>
      <c r="Q207" s="1"/>
      <c r="R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P208" s="1"/>
      <c r="Q208" s="1"/>
      <c r="R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P209" s="1"/>
      <c r="Q209" s="1"/>
      <c r="R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P210" s="1"/>
      <c r="Q210" s="1"/>
      <c r="R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P211" s="1"/>
      <c r="Q211" s="1"/>
      <c r="R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P212" s="1"/>
      <c r="Q212" s="1"/>
      <c r="R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P213" s="1"/>
      <c r="Q213" s="1"/>
      <c r="R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P214" s="1"/>
      <c r="Q214" s="1"/>
      <c r="R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P215" s="1"/>
      <c r="Q215" s="1"/>
      <c r="R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P216" s="1"/>
      <c r="Q216" s="1"/>
      <c r="R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P217" s="1"/>
      <c r="Q217" s="1"/>
      <c r="R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P218" s="1"/>
      <c r="Q218" s="1"/>
      <c r="R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P219" s="1"/>
      <c r="Q219" s="1"/>
      <c r="R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P220" s="1"/>
      <c r="Q220" s="1"/>
      <c r="R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P221" s="1"/>
      <c r="Q221" s="1"/>
      <c r="R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P222" s="1"/>
      <c r="Q222" s="1"/>
      <c r="R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P223" s="1"/>
      <c r="Q223" s="1"/>
      <c r="R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P224" s="1"/>
      <c r="Q224" s="1"/>
      <c r="R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P225" s="1"/>
      <c r="Q225" s="1"/>
      <c r="R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P226" s="1"/>
      <c r="Q226" s="1"/>
      <c r="R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P227" s="1"/>
      <c r="Q227" s="1"/>
      <c r="R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P228" s="1"/>
      <c r="Q228" s="1"/>
      <c r="R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P229" s="1"/>
      <c r="Q229" s="1"/>
      <c r="R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P230" s="1"/>
      <c r="Q230" s="1"/>
      <c r="R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P231" s="1"/>
      <c r="Q231" s="1"/>
      <c r="R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P232" s="1"/>
      <c r="Q232" s="1"/>
      <c r="R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P233" s="1"/>
      <c r="Q233" s="1"/>
      <c r="R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P234" s="1"/>
      <c r="Q234" s="1"/>
      <c r="R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P235" s="1"/>
      <c r="Q235" s="1"/>
      <c r="R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P236" s="1"/>
      <c r="Q236" s="1"/>
      <c r="R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P237" s="1"/>
      <c r="Q237" s="1"/>
      <c r="R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P238" s="1"/>
      <c r="Q238" s="1"/>
      <c r="R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P239" s="1"/>
      <c r="Q239" s="1"/>
      <c r="R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P240" s="1"/>
      <c r="Q240" s="1"/>
      <c r="R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P241" s="1"/>
      <c r="Q241" s="1"/>
      <c r="R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P242" s="1"/>
      <c r="Q242" s="1"/>
      <c r="R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P243" s="1"/>
      <c r="Q243" s="1"/>
      <c r="R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P244" s="1"/>
      <c r="Q244" s="1"/>
      <c r="R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P245" s="1"/>
      <c r="Q245" s="1"/>
      <c r="R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P246" s="1"/>
      <c r="Q246" s="1"/>
      <c r="R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P247" s="1"/>
      <c r="Q247" s="1"/>
      <c r="R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P248" s="1"/>
      <c r="Q248" s="1"/>
      <c r="R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P249" s="1"/>
      <c r="Q249" s="1"/>
      <c r="R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P250" s="1"/>
      <c r="Q250" s="1"/>
      <c r="R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P251" s="1"/>
      <c r="Q251" s="1"/>
      <c r="R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P252" s="1"/>
      <c r="Q252" s="1"/>
      <c r="R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P253" s="1"/>
      <c r="Q253" s="1"/>
      <c r="R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P254" s="1"/>
      <c r="Q254" s="1"/>
      <c r="R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P255" s="1"/>
      <c r="Q255" s="1"/>
      <c r="R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P256" s="1"/>
      <c r="Q256" s="1"/>
      <c r="R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P257" s="1"/>
      <c r="Q257" s="1"/>
      <c r="R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P258" s="1"/>
      <c r="Q258" s="1"/>
      <c r="R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P259" s="1"/>
      <c r="Q259" s="1"/>
      <c r="R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P260" s="1"/>
      <c r="Q260" s="1"/>
      <c r="R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P261" s="1"/>
      <c r="Q261" s="1"/>
      <c r="R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P262" s="1"/>
      <c r="Q262" s="1"/>
      <c r="R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P263" s="1"/>
      <c r="Q263" s="1"/>
      <c r="R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P264" s="1"/>
      <c r="Q264" s="1"/>
      <c r="R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P265" s="1"/>
      <c r="Q265" s="1"/>
      <c r="R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P266" s="1"/>
      <c r="Q266" s="1"/>
      <c r="R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P267" s="1"/>
      <c r="Q267" s="1"/>
      <c r="R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P268" s="1"/>
      <c r="Q268" s="1"/>
      <c r="R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P269" s="1"/>
      <c r="Q269" s="1"/>
      <c r="R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P270" s="1"/>
      <c r="Q270" s="1"/>
      <c r="R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P271" s="1"/>
      <c r="Q271" s="1"/>
      <c r="R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P272" s="1"/>
      <c r="Q272" s="1"/>
      <c r="R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P273" s="1"/>
      <c r="Q273" s="1"/>
      <c r="R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P274" s="1"/>
      <c r="Q274" s="1"/>
      <c r="R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P275" s="1"/>
      <c r="Q275" s="1"/>
      <c r="R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P276" s="1"/>
      <c r="Q276" s="1"/>
      <c r="R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P277" s="1"/>
      <c r="Q277" s="1"/>
      <c r="R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P278" s="1"/>
      <c r="Q278" s="1"/>
      <c r="R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P279" s="1"/>
      <c r="Q279" s="1"/>
      <c r="R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P280" s="1"/>
      <c r="Q280" s="1"/>
      <c r="R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P281" s="1"/>
      <c r="Q281" s="1"/>
      <c r="R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P282" s="1"/>
      <c r="Q282" s="1"/>
      <c r="R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P283" s="1"/>
      <c r="Q283" s="1"/>
      <c r="R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P284" s="1"/>
      <c r="Q284" s="1"/>
      <c r="R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P285" s="1"/>
      <c r="Q285" s="1"/>
      <c r="R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P286" s="1"/>
      <c r="Q286" s="1"/>
      <c r="R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P287" s="1"/>
      <c r="Q287" s="1"/>
      <c r="R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P288" s="1"/>
      <c r="Q288" s="1"/>
      <c r="R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P289" s="1"/>
      <c r="Q289" s="1"/>
      <c r="R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P290" s="1"/>
      <c r="Q290" s="1"/>
      <c r="R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P291" s="1"/>
      <c r="Q291" s="1"/>
      <c r="R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P292" s="1"/>
      <c r="Q292" s="1"/>
      <c r="R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P293" s="1"/>
      <c r="Q293" s="1"/>
      <c r="R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P294" s="1"/>
      <c r="Q294" s="1"/>
      <c r="R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P295" s="1"/>
      <c r="Q295" s="1"/>
      <c r="R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P296" s="1"/>
      <c r="Q296" s="1"/>
      <c r="R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P297" s="1"/>
      <c r="Q297" s="1"/>
      <c r="R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P298" s="1"/>
      <c r="Q298" s="1"/>
      <c r="R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P299" s="1"/>
      <c r="Q299" s="1"/>
      <c r="R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P300" s="1"/>
      <c r="Q300" s="1"/>
      <c r="R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P301" s="1"/>
      <c r="Q301" s="1"/>
      <c r="R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P302" s="1"/>
      <c r="Q302" s="1"/>
      <c r="R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P303" s="1"/>
      <c r="Q303" s="1"/>
      <c r="R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P304" s="1"/>
      <c r="Q304" s="1"/>
      <c r="R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P305" s="1"/>
      <c r="Q305" s="1"/>
      <c r="R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P306" s="1"/>
      <c r="Q306" s="1"/>
      <c r="R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P307" s="1"/>
      <c r="Q307" s="1"/>
      <c r="R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P308" s="1"/>
      <c r="Q308" s="1"/>
      <c r="R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P309" s="1"/>
      <c r="Q309" s="1"/>
      <c r="R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P310" s="1"/>
      <c r="Q310" s="1"/>
      <c r="R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P311" s="1"/>
      <c r="Q311" s="1"/>
      <c r="R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P312" s="1"/>
      <c r="Q312" s="1"/>
      <c r="R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P313" s="1"/>
      <c r="Q313" s="1"/>
      <c r="R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P314" s="1"/>
      <c r="Q314" s="1"/>
      <c r="R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P315" s="1"/>
      <c r="Q315" s="1"/>
      <c r="R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P316" s="1"/>
      <c r="Q316" s="1"/>
      <c r="R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P317" s="1"/>
      <c r="Q317" s="1"/>
      <c r="R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P318" s="1"/>
      <c r="Q318" s="1"/>
      <c r="R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P319" s="1"/>
      <c r="Q319" s="1"/>
      <c r="R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P320" s="1"/>
      <c r="Q320" s="1"/>
      <c r="R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P321" s="1"/>
      <c r="Q321" s="1"/>
      <c r="R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P322" s="1"/>
      <c r="Q322" s="1"/>
      <c r="R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P323" s="1"/>
      <c r="Q323" s="1"/>
      <c r="R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P324" s="1"/>
      <c r="Q324" s="1"/>
      <c r="R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P325" s="1"/>
      <c r="Q325" s="1"/>
      <c r="R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P326" s="1"/>
      <c r="Q326" s="1"/>
      <c r="R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P327" s="1"/>
      <c r="Q327" s="1"/>
      <c r="R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P328" s="1"/>
      <c r="Q328" s="1"/>
      <c r="R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P329" s="1"/>
      <c r="Q329" s="1"/>
      <c r="R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P330" s="1"/>
      <c r="Q330" s="1"/>
      <c r="R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P331" s="1"/>
      <c r="Q331" s="1"/>
      <c r="R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P332" s="1"/>
      <c r="Q332" s="1"/>
      <c r="R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P333" s="1"/>
      <c r="Q333" s="1"/>
      <c r="R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P334" s="1"/>
      <c r="Q334" s="1"/>
      <c r="R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P335" s="1"/>
      <c r="Q335" s="1"/>
      <c r="R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P336" s="1"/>
      <c r="Q336" s="1"/>
      <c r="R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P337" s="1"/>
      <c r="Q337" s="1"/>
      <c r="R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P338" s="1"/>
      <c r="Q338" s="1"/>
      <c r="R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P339" s="1"/>
      <c r="Q339" s="1"/>
      <c r="R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P340" s="1"/>
      <c r="Q340" s="1"/>
      <c r="R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P341" s="1"/>
      <c r="Q341" s="1"/>
      <c r="R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P342" s="1"/>
      <c r="Q342" s="1"/>
      <c r="R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P343" s="1"/>
      <c r="Q343" s="1"/>
      <c r="R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P344" s="1"/>
      <c r="Q344" s="1"/>
      <c r="R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P345" s="1"/>
      <c r="Q345" s="1"/>
      <c r="R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P346" s="1"/>
      <c r="Q346" s="1"/>
      <c r="R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P347" s="1"/>
      <c r="Q347" s="1"/>
      <c r="R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P348" s="1"/>
      <c r="Q348" s="1"/>
      <c r="R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P349" s="1"/>
      <c r="Q349" s="1"/>
      <c r="R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P350" s="1"/>
      <c r="Q350" s="1"/>
      <c r="R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P351" s="1"/>
      <c r="Q351" s="1"/>
      <c r="R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P352" s="1"/>
      <c r="Q352" s="1"/>
      <c r="R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P353" s="1"/>
      <c r="Q353" s="1"/>
      <c r="R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P354" s="1"/>
      <c r="Q354" s="1"/>
      <c r="R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P355" s="1"/>
      <c r="Q355" s="1"/>
      <c r="R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P356" s="1"/>
      <c r="Q356" s="1"/>
      <c r="R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P357" s="1"/>
      <c r="Q357" s="1"/>
      <c r="R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P358" s="1"/>
      <c r="Q358" s="1"/>
      <c r="R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P359" s="1"/>
      <c r="Q359" s="1"/>
      <c r="R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P360" s="1"/>
      <c r="Q360" s="1"/>
      <c r="R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P361" s="1"/>
      <c r="Q361" s="1"/>
      <c r="R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P362" s="1"/>
      <c r="Q362" s="1"/>
      <c r="R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P363" s="1"/>
      <c r="Q363" s="1"/>
      <c r="R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P364" s="1"/>
      <c r="Q364" s="1"/>
      <c r="R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P365" s="1"/>
      <c r="Q365" s="1"/>
      <c r="R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P366" s="1"/>
      <c r="Q366" s="1"/>
      <c r="R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P367" s="1"/>
      <c r="Q367" s="1"/>
      <c r="R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P368" s="1"/>
      <c r="Q368" s="1"/>
      <c r="R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P369" s="1"/>
      <c r="Q369" s="1"/>
      <c r="R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P370" s="1"/>
      <c r="Q370" s="1"/>
      <c r="R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P371" s="1"/>
      <c r="Q371" s="1"/>
      <c r="R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P372" s="1"/>
      <c r="Q372" s="1"/>
      <c r="R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P373" s="1"/>
      <c r="Q373" s="1"/>
      <c r="R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P374" s="1"/>
      <c r="Q374" s="1"/>
      <c r="R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P375" s="1"/>
      <c r="Q375" s="1"/>
      <c r="R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P376" s="1"/>
      <c r="Q376" s="1"/>
      <c r="R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P377" s="1"/>
      <c r="Q377" s="1"/>
      <c r="R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P378" s="1"/>
      <c r="Q378" s="1"/>
      <c r="R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P379" s="1"/>
      <c r="Q379" s="1"/>
      <c r="R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P380" s="1"/>
      <c r="Q380" s="1"/>
      <c r="R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P381" s="1"/>
      <c r="Q381" s="1"/>
      <c r="R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P382" s="1"/>
      <c r="Q382" s="1"/>
      <c r="R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P383" s="1"/>
      <c r="Q383" s="1"/>
      <c r="R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P384" s="1"/>
      <c r="Q384" s="1"/>
      <c r="R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P385" s="1"/>
      <c r="Q385" s="1"/>
      <c r="R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P386" s="1"/>
      <c r="Q386" s="1"/>
      <c r="R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P387" s="1"/>
      <c r="Q387" s="1"/>
      <c r="R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P388" s="1"/>
      <c r="Q388" s="1"/>
      <c r="R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P389" s="1"/>
      <c r="Q389" s="1"/>
      <c r="R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P390" s="1"/>
      <c r="Q390" s="1"/>
      <c r="R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P391" s="1"/>
      <c r="Q391" s="1"/>
      <c r="R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P392" s="1"/>
      <c r="Q392" s="1"/>
      <c r="R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P393" s="1"/>
      <c r="Q393" s="1"/>
      <c r="R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P394" s="1"/>
      <c r="Q394" s="1"/>
      <c r="R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P395" s="1"/>
      <c r="Q395" s="1"/>
      <c r="R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P396" s="1"/>
      <c r="Q396" s="1"/>
      <c r="R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P397" s="1"/>
      <c r="Q397" s="1"/>
      <c r="R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P398" s="1"/>
      <c r="Q398" s="1"/>
      <c r="R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P399" s="1"/>
      <c r="Q399" s="1"/>
      <c r="R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P400" s="1"/>
      <c r="Q400" s="1"/>
      <c r="R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P401" s="1"/>
      <c r="Q401" s="1"/>
      <c r="R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P402" s="1"/>
      <c r="Q402" s="1"/>
      <c r="R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P403" s="1"/>
      <c r="Q403" s="1"/>
      <c r="R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P404" s="1"/>
      <c r="Q404" s="1"/>
      <c r="R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P405" s="1"/>
      <c r="Q405" s="1"/>
      <c r="R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P406" s="1"/>
      <c r="Q406" s="1"/>
      <c r="R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P407" s="1"/>
      <c r="Q407" s="1"/>
      <c r="R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P408" s="1"/>
      <c r="Q408" s="1"/>
      <c r="R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P409" s="1"/>
      <c r="Q409" s="1"/>
      <c r="R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P410" s="1"/>
      <c r="Q410" s="1"/>
      <c r="R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P411" s="1"/>
      <c r="Q411" s="1"/>
      <c r="R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P412" s="1"/>
      <c r="Q412" s="1"/>
      <c r="R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P413" s="1"/>
      <c r="Q413" s="1"/>
      <c r="R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P414" s="1"/>
      <c r="Q414" s="1"/>
      <c r="R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P415" s="1"/>
      <c r="Q415" s="1"/>
      <c r="R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P416" s="1"/>
      <c r="Q416" s="1"/>
      <c r="R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P417" s="1"/>
      <c r="Q417" s="1"/>
      <c r="R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P418" s="1"/>
      <c r="Q418" s="1"/>
      <c r="R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P419" s="1"/>
      <c r="Q419" s="1"/>
      <c r="R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P420" s="1"/>
      <c r="Q420" s="1"/>
      <c r="R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P421" s="1"/>
      <c r="Q421" s="1"/>
      <c r="R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P422" s="1"/>
      <c r="Q422" s="1"/>
      <c r="R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P423" s="1"/>
      <c r="Q423" s="1"/>
      <c r="R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P424" s="1"/>
      <c r="Q424" s="1"/>
      <c r="R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P425" s="1"/>
      <c r="Q425" s="1"/>
      <c r="R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P426" s="1"/>
      <c r="Q426" s="1"/>
      <c r="R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P427" s="1"/>
      <c r="Q427" s="1"/>
      <c r="R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P428" s="1"/>
      <c r="Q428" s="1"/>
      <c r="R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P429" s="1"/>
      <c r="Q429" s="1"/>
      <c r="R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P430" s="1"/>
      <c r="Q430" s="1"/>
      <c r="R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P431" s="1"/>
      <c r="Q431" s="1"/>
      <c r="R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P432" s="1"/>
      <c r="Q432" s="1"/>
      <c r="R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P433" s="1"/>
      <c r="Q433" s="1"/>
      <c r="R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P434" s="1"/>
      <c r="Q434" s="1"/>
      <c r="R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P435" s="1"/>
      <c r="Q435" s="1"/>
      <c r="R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P436" s="1"/>
      <c r="Q436" s="1"/>
      <c r="R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P437" s="1"/>
      <c r="Q437" s="1"/>
      <c r="R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P438" s="1"/>
      <c r="Q438" s="1"/>
      <c r="R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P439" s="1"/>
      <c r="Q439" s="1"/>
      <c r="R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P440" s="1"/>
      <c r="Q440" s="1"/>
      <c r="R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P441" s="1"/>
      <c r="Q441" s="1"/>
      <c r="R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P442" s="1"/>
      <c r="Q442" s="1"/>
      <c r="R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P443" s="1"/>
      <c r="Q443" s="1"/>
      <c r="R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P444" s="1"/>
      <c r="Q444" s="1"/>
      <c r="R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P445" s="1"/>
      <c r="Q445" s="1"/>
      <c r="R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P446" s="1"/>
      <c r="Q446" s="1"/>
      <c r="R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P447" s="1"/>
      <c r="Q447" s="1"/>
      <c r="R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P448" s="1"/>
      <c r="Q448" s="1"/>
      <c r="R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P449" s="1"/>
      <c r="Q449" s="1"/>
      <c r="R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P450" s="1"/>
      <c r="Q450" s="1"/>
      <c r="R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P451" s="1"/>
      <c r="Q451" s="1"/>
      <c r="R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P452" s="1"/>
      <c r="Q452" s="1"/>
      <c r="R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P453" s="1"/>
      <c r="Q453" s="1"/>
      <c r="R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P454" s="1"/>
      <c r="Q454" s="1"/>
      <c r="R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P455" s="1"/>
      <c r="Q455" s="1"/>
      <c r="R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P456" s="1"/>
      <c r="Q456" s="1"/>
      <c r="R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P457" s="1"/>
      <c r="Q457" s="1"/>
      <c r="R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P458" s="1"/>
      <c r="Q458" s="1"/>
      <c r="R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P459" s="1"/>
      <c r="Q459" s="1"/>
      <c r="R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P460" s="1"/>
      <c r="Q460" s="1"/>
      <c r="R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P461" s="1"/>
      <c r="Q461" s="1"/>
      <c r="R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P462" s="1"/>
      <c r="Q462" s="1"/>
      <c r="R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P463" s="1"/>
      <c r="Q463" s="1"/>
      <c r="R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P464" s="1"/>
      <c r="Q464" s="1"/>
      <c r="R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P465" s="1"/>
      <c r="Q465" s="1"/>
      <c r="R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P466" s="1"/>
      <c r="Q466" s="1"/>
      <c r="R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P467" s="1"/>
      <c r="Q467" s="1"/>
      <c r="R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P468" s="1"/>
      <c r="Q468" s="1"/>
      <c r="R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P469" s="1"/>
      <c r="Q469" s="1"/>
      <c r="R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P470" s="1"/>
      <c r="Q470" s="1"/>
      <c r="R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P471" s="1"/>
      <c r="Q471" s="1"/>
      <c r="R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P472" s="1"/>
      <c r="Q472" s="1"/>
      <c r="R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P473" s="1"/>
      <c r="Q473" s="1"/>
      <c r="R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P474" s="1"/>
      <c r="Q474" s="1"/>
      <c r="R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P475" s="1"/>
      <c r="Q475" s="1"/>
      <c r="R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P476" s="1"/>
      <c r="Q476" s="1"/>
      <c r="R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P477" s="1"/>
      <c r="Q477" s="1"/>
      <c r="R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P478" s="1"/>
      <c r="Q478" s="1"/>
      <c r="R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P479" s="1"/>
      <c r="Q479" s="1"/>
      <c r="R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P480" s="1"/>
      <c r="Q480" s="1"/>
      <c r="R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P481" s="1"/>
      <c r="Q481" s="1"/>
      <c r="R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P482" s="1"/>
      <c r="Q482" s="1"/>
      <c r="R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P483" s="1"/>
      <c r="Q483" s="1"/>
      <c r="R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P484" s="1"/>
      <c r="Q484" s="1"/>
      <c r="R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P485" s="1"/>
      <c r="Q485" s="1"/>
      <c r="R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P486" s="1"/>
      <c r="Q486" s="1"/>
      <c r="R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P487" s="1"/>
      <c r="Q487" s="1"/>
      <c r="R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P488" s="1"/>
      <c r="Q488" s="1"/>
      <c r="R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P489" s="1"/>
      <c r="Q489" s="1"/>
      <c r="R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P490" s="1"/>
      <c r="Q490" s="1"/>
      <c r="R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P491" s="1"/>
      <c r="Q491" s="1"/>
      <c r="R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P492" s="1"/>
      <c r="Q492" s="1"/>
      <c r="R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P493" s="1"/>
      <c r="Q493" s="1"/>
      <c r="R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P494" s="1"/>
      <c r="Q494" s="1"/>
      <c r="R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P495" s="1"/>
      <c r="Q495" s="1"/>
      <c r="R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P496" s="1"/>
      <c r="Q496" s="1"/>
      <c r="R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P497" s="1"/>
      <c r="Q497" s="1"/>
      <c r="R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P498" s="1"/>
      <c r="Q498" s="1"/>
      <c r="R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P499" s="1"/>
      <c r="Q499" s="1"/>
      <c r="R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P500" s="1"/>
      <c r="Q500" s="1"/>
      <c r="R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P501" s="1"/>
      <c r="Q501" s="1"/>
      <c r="R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P502" s="1"/>
      <c r="Q502" s="1"/>
      <c r="R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P503" s="1"/>
      <c r="Q503" s="1"/>
      <c r="R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P504" s="1"/>
      <c r="Q504" s="1"/>
      <c r="R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P505" s="1"/>
      <c r="Q505" s="1"/>
      <c r="R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P506" s="1"/>
      <c r="Q506" s="1"/>
      <c r="R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P507" s="1"/>
      <c r="Q507" s="1"/>
      <c r="R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P508" s="1"/>
      <c r="Q508" s="1"/>
      <c r="R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P509" s="1"/>
      <c r="Q509" s="1"/>
      <c r="R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P510" s="1"/>
      <c r="Q510" s="1"/>
      <c r="R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P511" s="1"/>
      <c r="Q511" s="1"/>
      <c r="R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P512" s="1"/>
      <c r="Q512" s="1"/>
      <c r="R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P513" s="1"/>
      <c r="Q513" s="1"/>
      <c r="R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P514" s="1"/>
      <c r="Q514" s="1"/>
      <c r="R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P515" s="1"/>
      <c r="Q515" s="1"/>
      <c r="R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P516" s="1"/>
      <c r="Q516" s="1"/>
      <c r="R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P517" s="1"/>
      <c r="Q517" s="1"/>
      <c r="R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P518" s="1"/>
      <c r="Q518" s="1"/>
      <c r="R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P519" s="1"/>
      <c r="Q519" s="1"/>
      <c r="R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P520" s="1"/>
      <c r="Q520" s="1"/>
      <c r="R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P521" s="1"/>
      <c r="Q521" s="1"/>
      <c r="R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P522" s="1"/>
      <c r="Q522" s="1"/>
      <c r="R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P523" s="1"/>
      <c r="Q523" s="1"/>
      <c r="R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P524" s="1"/>
      <c r="Q524" s="1"/>
      <c r="R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P525" s="1"/>
      <c r="Q525" s="1"/>
      <c r="R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P526" s="1"/>
      <c r="Q526" s="1"/>
      <c r="R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P527" s="1"/>
      <c r="Q527" s="1"/>
      <c r="R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P528" s="1"/>
      <c r="Q528" s="1"/>
      <c r="R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P529" s="1"/>
      <c r="Q529" s="1"/>
      <c r="R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P530" s="1"/>
      <c r="Q530" s="1"/>
      <c r="R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P531" s="1"/>
      <c r="Q531" s="1"/>
      <c r="R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P532" s="1"/>
      <c r="Q532" s="1"/>
      <c r="R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P533" s="1"/>
      <c r="Q533" s="1"/>
      <c r="R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P534" s="1"/>
      <c r="Q534" s="1"/>
      <c r="R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P535" s="1"/>
      <c r="Q535" s="1"/>
      <c r="R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P536" s="1"/>
      <c r="Q536" s="1"/>
      <c r="R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P537" s="1"/>
      <c r="Q537" s="1"/>
      <c r="R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P538" s="1"/>
      <c r="Q538" s="1"/>
      <c r="R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P539" s="1"/>
      <c r="Q539" s="1"/>
      <c r="R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P540" s="1"/>
      <c r="Q540" s="1"/>
      <c r="R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P541" s="1"/>
      <c r="Q541" s="1"/>
      <c r="R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P542" s="1"/>
      <c r="Q542" s="1"/>
      <c r="R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P543" s="1"/>
      <c r="Q543" s="1"/>
      <c r="R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P544" s="1"/>
      <c r="Q544" s="1"/>
      <c r="R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P545" s="1"/>
      <c r="Q545" s="1"/>
      <c r="R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P546" s="1"/>
      <c r="Q546" s="1"/>
      <c r="R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P547" s="1"/>
      <c r="Q547" s="1"/>
      <c r="R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P548" s="1"/>
      <c r="Q548" s="1"/>
      <c r="R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P549" s="1"/>
      <c r="Q549" s="1"/>
      <c r="R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P550" s="1"/>
      <c r="Q550" s="1"/>
      <c r="R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P551" s="1"/>
      <c r="Q551" s="1"/>
      <c r="R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P552" s="1"/>
      <c r="Q552" s="1"/>
      <c r="R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P553" s="1"/>
      <c r="Q553" s="1"/>
      <c r="R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P554" s="1"/>
      <c r="Q554" s="1"/>
      <c r="R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P555" s="1"/>
      <c r="Q555" s="1"/>
      <c r="R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P556" s="1"/>
      <c r="Q556" s="1"/>
      <c r="R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P557" s="1"/>
      <c r="Q557" s="1"/>
      <c r="R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P558" s="1"/>
      <c r="Q558" s="1"/>
      <c r="R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P559" s="1"/>
      <c r="Q559" s="1"/>
      <c r="R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P560" s="1"/>
      <c r="Q560" s="1"/>
      <c r="R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P561" s="1"/>
      <c r="Q561" s="1"/>
      <c r="R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P562" s="1"/>
      <c r="Q562" s="1"/>
      <c r="R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P563" s="1"/>
      <c r="Q563" s="1"/>
      <c r="R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P564" s="1"/>
      <c r="Q564" s="1"/>
      <c r="R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P565" s="1"/>
      <c r="Q565" s="1"/>
      <c r="R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P566" s="1"/>
      <c r="Q566" s="1"/>
      <c r="R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P567" s="1"/>
      <c r="Q567" s="1"/>
      <c r="R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P568" s="1"/>
      <c r="Q568" s="1"/>
      <c r="R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P569" s="1"/>
      <c r="Q569" s="1"/>
      <c r="R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P570" s="1"/>
      <c r="Q570" s="1"/>
      <c r="R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P571" s="1"/>
      <c r="Q571" s="1"/>
      <c r="R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P572" s="1"/>
      <c r="Q572" s="1"/>
      <c r="R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P573" s="1"/>
      <c r="Q573" s="1"/>
      <c r="R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P574" s="1"/>
      <c r="Q574" s="1"/>
      <c r="R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P575" s="1"/>
      <c r="Q575" s="1"/>
      <c r="R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P576" s="1"/>
      <c r="Q576" s="1"/>
      <c r="R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P577" s="1"/>
      <c r="Q577" s="1"/>
      <c r="R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P578" s="1"/>
      <c r="Q578" s="1"/>
      <c r="R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P579" s="1"/>
      <c r="Q579" s="1"/>
      <c r="R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P580" s="1"/>
      <c r="Q580" s="1"/>
      <c r="R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P581" s="1"/>
      <c r="Q581" s="1"/>
      <c r="R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P582" s="1"/>
      <c r="Q582" s="1"/>
      <c r="R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P583" s="1"/>
      <c r="Q583" s="1"/>
      <c r="R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P584" s="1"/>
      <c r="Q584" s="1"/>
      <c r="R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P585" s="1"/>
      <c r="Q585" s="1"/>
      <c r="R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P586" s="1"/>
      <c r="Q586" s="1"/>
      <c r="R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P587" s="1"/>
      <c r="Q587" s="1"/>
      <c r="R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P588" s="1"/>
      <c r="Q588" s="1"/>
      <c r="R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P589" s="1"/>
      <c r="Q589" s="1"/>
      <c r="R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P590" s="1"/>
      <c r="Q590" s="1"/>
      <c r="R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P591" s="1"/>
      <c r="Q591" s="1"/>
      <c r="R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P592" s="1"/>
      <c r="Q592" s="1"/>
      <c r="R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P593" s="1"/>
      <c r="Q593" s="1"/>
      <c r="R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P594" s="1"/>
      <c r="Q594" s="1"/>
      <c r="R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P595" s="1"/>
      <c r="Q595" s="1"/>
      <c r="R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P596" s="1"/>
      <c r="Q596" s="1"/>
      <c r="R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P597" s="1"/>
      <c r="Q597" s="1"/>
      <c r="R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P598" s="1"/>
      <c r="Q598" s="1"/>
      <c r="R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P599" s="1"/>
      <c r="Q599" s="1"/>
      <c r="R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P600" s="1"/>
      <c r="Q600" s="1"/>
      <c r="R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P601" s="1"/>
      <c r="Q601" s="1"/>
      <c r="R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P602" s="1"/>
      <c r="Q602" s="1"/>
      <c r="R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P603" s="1"/>
      <c r="Q603" s="1"/>
      <c r="R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P604" s="1"/>
      <c r="Q604" s="1"/>
      <c r="R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P605" s="1"/>
      <c r="Q605" s="1"/>
      <c r="R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P606" s="1"/>
      <c r="Q606" s="1"/>
      <c r="R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P607" s="1"/>
      <c r="Q607" s="1"/>
      <c r="R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P608" s="1"/>
      <c r="Q608" s="1"/>
      <c r="R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P609" s="1"/>
      <c r="Q609" s="1"/>
      <c r="R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P610" s="1"/>
      <c r="Q610" s="1"/>
      <c r="R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P611" s="1"/>
      <c r="Q611" s="1"/>
      <c r="R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P612" s="1"/>
      <c r="Q612" s="1"/>
      <c r="R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P613" s="1"/>
      <c r="Q613" s="1"/>
      <c r="R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P614" s="1"/>
      <c r="Q614" s="1"/>
      <c r="R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P615" s="1"/>
      <c r="Q615" s="1"/>
      <c r="R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P616" s="1"/>
      <c r="Q616" s="1"/>
      <c r="R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P617" s="1"/>
      <c r="Q617" s="1"/>
      <c r="R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P618" s="1"/>
      <c r="Q618" s="1"/>
      <c r="R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P619" s="1"/>
      <c r="Q619" s="1"/>
      <c r="R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P620" s="1"/>
      <c r="Q620" s="1"/>
      <c r="R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P621" s="1"/>
      <c r="Q621" s="1"/>
      <c r="R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P622" s="1"/>
      <c r="Q622" s="1"/>
      <c r="R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P623" s="1"/>
      <c r="Q623" s="1"/>
      <c r="R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P624" s="1"/>
      <c r="Q624" s="1"/>
      <c r="R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P625" s="1"/>
      <c r="Q625" s="1"/>
      <c r="R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P626" s="1"/>
      <c r="Q626" s="1"/>
      <c r="R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P627" s="1"/>
      <c r="Q627" s="1"/>
      <c r="R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P628" s="1"/>
      <c r="Q628" s="1"/>
      <c r="R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P629" s="1"/>
      <c r="Q629" s="1"/>
      <c r="R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P630" s="1"/>
      <c r="Q630" s="1"/>
      <c r="R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P631" s="1"/>
      <c r="Q631" s="1"/>
      <c r="R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P632" s="1"/>
      <c r="Q632" s="1"/>
      <c r="R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P633" s="1"/>
      <c r="Q633" s="1"/>
      <c r="R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P634" s="1"/>
      <c r="Q634" s="1"/>
      <c r="R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P635" s="1"/>
      <c r="Q635" s="1"/>
      <c r="R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P636" s="1"/>
      <c r="Q636" s="1"/>
      <c r="R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P637" s="1"/>
      <c r="Q637" s="1"/>
      <c r="R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P638" s="1"/>
      <c r="Q638" s="1"/>
      <c r="R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P639" s="1"/>
      <c r="Q639" s="1"/>
      <c r="R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P640" s="1"/>
      <c r="Q640" s="1"/>
      <c r="R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P641" s="1"/>
      <c r="Q641" s="1"/>
      <c r="R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P642" s="1"/>
      <c r="Q642" s="1"/>
      <c r="R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P643" s="1"/>
      <c r="Q643" s="1"/>
      <c r="R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P644" s="1"/>
      <c r="Q644" s="1"/>
      <c r="R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P645" s="1"/>
      <c r="Q645" s="1"/>
      <c r="R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P646" s="1"/>
      <c r="Q646" s="1"/>
      <c r="R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P647" s="1"/>
      <c r="Q647" s="1"/>
      <c r="R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P648" s="1"/>
      <c r="Q648" s="1"/>
      <c r="R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P649" s="1"/>
      <c r="Q649" s="1"/>
      <c r="R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P650" s="1"/>
      <c r="Q650" s="1"/>
      <c r="R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P651" s="1"/>
      <c r="Q651" s="1"/>
      <c r="R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P652" s="1"/>
      <c r="Q652" s="1"/>
      <c r="R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P653" s="1"/>
      <c r="Q653" s="1"/>
      <c r="R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P654" s="1"/>
      <c r="Q654" s="1"/>
      <c r="R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P655" s="1"/>
      <c r="Q655" s="1"/>
      <c r="R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P656" s="1"/>
      <c r="Q656" s="1"/>
      <c r="R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P657" s="1"/>
      <c r="Q657" s="1"/>
      <c r="R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P658" s="1"/>
      <c r="Q658" s="1"/>
      <c r="R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P659" s="1"/>
      <c r="Q659" s="1"/>
      <c r="R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P660" s="1"/>
      <c r="Q660" s="1"/>
      <c r="R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P661" s="1"/>
      <c r="Q661" s="1"/>
      <c r="R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P662" s="1"/>
      <c r="Q662" s="1"/>
      <c r="R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P663" s="1"/>
      <c r="Q663" s="1"/>
      <c r="R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P664" s="1"/>
      <c r="Q664" s="1"/>
      <c r="R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P665" s="1"/>
      <c r="Q665" s="1"/>
      <c r="R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P666" s="1"/>
      <c r="Q666" s="1"/>
      <c r="R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P667" s="1"/>
      <c r="Q667" s="1"/>
      <c r="R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P668" s="1"/>
      <c r="Q668" s="1"/>
      <c r="R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P669" s="1"/>
      <c r="Q669" s="1"/>
      <c r="R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P670" s="1"/>
      <c r="Q670" s="1"/>
      <c r="R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P671" s="1"/>
      <c r="Q671" s="1"/>
      <c r="R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P672" s="1"/>
      <c r="Q672" s="1"/>
      <c r="R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P673" s="1"/>
      <c r="Q673" s="1"/>
      <c r="R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P674" s="1"/>
      <c r="Q674" s="1"/>
      <c r="R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P675" s="1"/>
      <c r="Q675" s="1"/>
      <c r="R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P676" s="1"/>
      <c r="Q676" s="1"/>
      <c r="R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P677" s="1"/>
      <c r="Q677" s="1"/>
      <c r="R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P678" s="1"/>
      <c r="Q678" s="1"/>
      <c r="R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P679" s="1"/>
      <c r="Q679" s="1"/>
      <c r="R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P680" s="1"/>
      <c r="Q680" s="1"/>
      <c r="R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P681" s="1"/>
      <c r="Q681" s="1"/>
      <c r="R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P682" s="1"/>
      <c r="Q682" s="1"/>
      <c r="R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P683" s="1"/>
      <c r="Q683" s="1"/>
      <c r="R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P684" s="1"/>
      <c r="Q684" s="1"/>
      <c r="R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P685" s="1"/>
      <c r="Q685" s="1"/>
      <c r="R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P686" s="1"/>
      <c r="Q686" s="1"/>
      <c r="R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P687" s="1"/>
      <c r="Q687" s="1"/>
      <c r="R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P688" s="1"/>
      <c r="Q688" s="1"/>
      <c r="R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P689" s="1"/>
      <c r="Q689" s="1"/>
      <c r="R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P690" s="1"/>
      <c r="Q690" s="1"/>
      <c r="R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P691" s="1"/>
      <c r="Q691" s="1"/>
      <c r="R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P692" s="1"/>
      <c r="Q692" s="1"/>
      <c r="R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P693" s="1"/>
      <c r="Q693" s="1"/>
      <c r="R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P694" s="1"/>
      <c r="Q694" s="1"/>
      <c r="R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P695" s="1"/>
      <c r="Q695" s="1"/>
      <c r="R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P696" s="1"/>
      <c r="Q696" s="1"/>
      <c r="R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P697" s="1"/>
      <c r="Q697" s="1"/>
      <c r="R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P698" s="1"/>
      <c r="Q698" s="1"/>
      <c r="R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P699" s="1"/>
      <c r="Q699" s="1"/>
      <c r="R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P700" s="1"/>
      <c r="Q700" s="1"/>
      <c r="R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P701" s="1"/>
      <c r="Q701" s="1"/>
      <c r="R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P702" s="1"/>
      <c r="Q702" s="1"/>
      <c r="R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P703" s="1"/>
      <c r="Q703" s="1"/>
      <c r="R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P704" s="1"/>
      <c r="Q704" s="1"/>
      <c r="R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P705" s="1"/>
      <c r="Q705" s="1"/>
      <c r="R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P706" s="1"/>
      <c r="Q706" s="1"/>
      <c r="R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P707" s="1"/>
      <c r="Q707" s="1"/>
      <c r="R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P708" s="1"/>
      <c r="Q708" s="1"/>
      <c r="R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P709" s="1"/>
      <c r="Q709" s="1"/>
      <c r="R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P710" s="1"/>
      <c r="Q710" s="1"/>
      <c r="R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P711" s="1"/>
      <c r="Q711" s="1"/>
      <c r="R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P712" s="1"/>
      <c r="Q712" s="1"/>
      <c r="R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P713" s="1"/>
      <c r="Q713" s="1"/>
      <c r="R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P714" s="1"/>
      <c r="Q714" s="1"/>
      <c r="R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P715" s="1"/>
      <c r="Q715" s="1"/>
      <c r="R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P716" s="1"/>
      <c r="Q716" s="1"/>
      <c r="R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P717" s="1"/>
      <c r="Q717" s="1"/>
      <c r="R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P718" s="1"/>
      <c r="Q718" s="1"/>
      <c r="R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P719" s="1"/>
      <c r="Q719" s="1"/>
      <c r="R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P720" s="1"/>
      <c r="Q720" s="1"/>
      <c r="R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P721" s="1"/>
      <c r="Q721" s="1"/>
      <c r="R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P722" s="1"/>
      <c r="Q722" s="1"/>
      <c r="R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P723" s="1"/>
      <c r="Q723" s="1"/>
      <c r="R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P724" s="1"/>
      <c r="Q724" s="1"/>
      <c r="R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P725" s="1"/>
      <c r="Q725" s="1"/>
      <c r="R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P726" s="1"/>
      <c r="Q726" s="1"/>
      <c r="R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P727" s="1"/>
      <c r="Q727" s="1"/>
      <c r="R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P728" s="1"/>
      <c r="Q728" s="1"/>
      <c r="R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P729" s="1"/>
      <c r="Q729" s="1"/>
      <c r="R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P730" s="1"/>
      <c r="Q730" s="1"/>
      <c r="R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P731" s="1"/>
      <c r="Q731" s="1"/>
      <c r="R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P732" s="1"/>
      <c r="Q732" s="1"/>
      <c r="R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P733" s="1"/>
      <c r="Q733" s="1"/>
      <c r="R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P734" s="1"/>
      <c r="Q734" s="1"/>
      <c r="R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P735" s="1"/>
      <c r="Q735" s="1"/>
      <c r="R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P736" s="1"/>
      <c r="Q736" s="1"/>
      <c r="R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P737" s="1"/>
      <c r="Q737" s="1"/>
      <c r="R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P738" s="1"/>
      <c r="Q738" s="1"/>
      <c r="R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P739" s="1"/>
      <c r="Q739" s="1"/>
      <c r="R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P740" s="1"/>
      <c r="Q740" s="1"/>
      <c r="R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P741" s="1"/>
      <c r="Q741" s="1"/>
      <c r="R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P742" s="1"/>
      <c r="Q742" s="1"/>
      <c r="R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P743" s="1"/>
      <c r="Q743" s="1"/>
      <c r="R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P744" s="1"/>
      <c r="Q744" s="1"/>
      <c r="R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P745" s="1"/>
      <c r="Q745" s="1"/>
      <c r="R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P746" s="1"/>
      <c r="Q746" s="1"/>
      <c r="R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P747" s="1"/>
      <c r="Q747" s="1"/>
      <c r="R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P748" s="1"/>
      <c r="Q748" s="1"/>
      <c r="R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P749" s="1"/>
      <c r="Q749" s="1"/>
      <c r="R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P750" s="1"/>
      <c r="Q750" s="1"/>
      <c r="R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P751" s="1"/>
      <c r="Q751" s="1"/>
      <c r="R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P752" s="1"/>
      <c r="Q752" s="1"/>
      <c r="R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P753" s="1"/>
      <c r="Q753" s="1"/>
      <c r="R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P754" s="1"/>
      <c r="Q754" s="1"/>
      <c r="R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P755" s="1"/>
      <c r="Q755" s="1"/>
      <c r="R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P756" s="1"/>
      <c r="Q756" s="1"/>
      <c r="R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P757" s="1"/>
      <c r="Q757" s="1"/>
      <c r="R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P758" s="1"/>
      <c r="Q758" s="1"/>
      <c r="R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P759" s="1"/>
      <c r="Q759" s="1"/>
      <c r="R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P760" s="1"/>
      <c r="Q760" s="1"/>
      <c r="R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P761" s="1"/>
      <c r="Q761" s="1"/>
      <c r="R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P762" s="1"/>
      <c r="Q762" s="1"/>
      <c r="R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P763" s="1"/>
      <c r="Q763" s="1"/>
      <c r="R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P764" s="1"/>
      <c r="Q764" s="1"/>
      <c r="R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P765" s="1"/>
      <c r="Q765" s="1"/>
      <c r="R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P766" s="1"/>
      <c r="Q766" s="1"/>
      <c r="R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P767" s="1"/>
      <c r="Q767" s="1"/>
      <c r="R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P768" s="1"/>
      <c r="Q768" s="1"/>
      <c r="R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P769" s="1"/>
      <c r="Q769" s="1"/>
      <c r="R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P770" s="1"/>
      <c r="Q770" s="1"/>
      <c r="R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P771" s="1"/>
      <c r="Q771" s="1"/>
      <c r="R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P772" s="1"/>
      <c r="Q772" s="1"/>
      <c r="R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P773" s="1"/>
      <c r="Q773" s="1"/>
      <c r="R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P774" s="1"/>
      <c r="Q774" s="1"/>
      <c r="R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P775" s="1"/>
      <c r="Q775" s="1"/>
      <c r="R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P776" s="1"/>
      <c r="Q776" s="1"/>
      <c r="R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P777" s="1"/>
      <c r="Q777" s="1"/>
      <c r="R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P778" s="1"/>
      <c r="Q778" s="1"/>
      <c r="R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P779" s="1"/>
      <c r="Q779" s="1"/>
      <c r="R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P780" s="1"/>
      <c r="Q780" s="1"/>
      <c r="R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P781" s="1"/>
      <c r="Q781" s="1"/>
      <c r="R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P782" s="1"/>
      <c r="Q782" s="1"/>
      <c r="R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P783" s="1"/>
      <c r="Q783" s="1"/>
      <c r="R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P784" s="1"/>
      <c r="Q784" s="1"/>
      <c r="R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P785" s="1"/>
      <c r="Q785" s="1"/>
      <c r="R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P786" s="1"/>
      <c r="Q786" s="1"/>
      <c r="R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P787" s="1"/>
      <c r="Q787" s="1"/>
      <c r="R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P788" s="1"/>
      <c r="Q788" s="1"/>
      <c r="R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P789" s="1"/>
      <c r="Q789" s="1"/>
      <c r="R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P790" s="1"/>
      <c r="Q790" s="1"/>
      <c r="R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P791" s="1"/>
      <c r="Q791" s="1"/>
      <c r="R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P792" s="1"/>
      <c r="Q792" s="1"/>
      <c r="R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P793" s="1"/>
      <c r="Q793" s="1"/>
      <c r="R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P794" s="1"/>
      <c r="Q794" s="1"/>
      <c r="R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P795" s="1"/>
      <c r="Q795" s="1"/>
      <c r="R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P796" s="1"/>
      <c r="Q796" s="1"/>
      <c r="R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P797" s="1"/>
      <c r="Q797" s="1"/>
      <c r="R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P798" s="1"/>
      <c r="Q798" s="1"/>
      <c r="R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P799" s="1"/>
      <c r="Q799" s="1"/>
      <c r="R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P800" s="1"/>
      <c r="Q800" s="1"/>
      <c r="R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P801" s="1"/>
      <c r="Q801" s="1"/>
      <c r="R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P802" s="1"/>
      <c r="Q802" s="1"/>
      <c r="R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P803" s="1"/>
      <c r="Q803" s="1"/>
      <c r="R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P804" s="1"/>
      <c r="Q804" s="1"/>
      <c r="R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P805" s="1"/>
      <c r="Q805" s="1"/>
      <c r="R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P806" s="1"/>
      <c r="Q806" s="1"/>
      <c r="R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P807" s="1"/>
      <c r="Q807" s="1"/>
      <c r="R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P808" s="1"/>
      <c r="Q808" s="1"/>
      <c r="R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P809" s="1"/>
      <c r="Q809" s="1"/>
      <c r="R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P810" s="1"/>
      <c r="Q810" s="1"/>
      <c r="R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P811" s="1"/>
      <c r="Q811" s="1"/>
      <c r="R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P812" s="1"/>
      <c r="Q812" s="1"/>
      <c r="R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P813" s="1"/>
      <c r="Q813" s="1"/>
      <c r="R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P814" s="1"/>
      <c r="Q814" s="1"/>
      <c r="R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P815" s="1"/>
      <c r="Q815" s="1"/>
      <c r="R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P816" s="1"/>
      <c r="Q816" s="1"/>
      <c r="R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P817" s="1"/>
      <c r="Q817" s="1"/>
      <c r="R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P818" s="1"/>
      <c r="Q818" s="1"/>
      <c r="R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P819" s="1"/>
      <c r="Q819" s="1"/>
      <c r="R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P820" s="1"/>
      <c r="Q820" s="1"/>
      <c r="R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P821" s="1"/>
      <c r="Q821" s="1"/>
      <c r="R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P822" s="1"/>
      <c r="Q822" s="1"/>
      <c r="R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P823" s="1"/>
      <c r="Q823" s="1"/>
      <c r="R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P824" s="1"/>
      <c r="Q824" s="1"/>
      <c r="R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P825" s="1"/>
      <c r="Q825" s="1"/>
      <c r="R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P826" s="1"/>
      <c r="Q826" s="1"/>
      <c r="R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P827" s="1"/>
      <c r="Q827" s="1"/>
      <c r="R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P828" s="1"/>
      <c r="Q828" s="1"/>
      <c r="R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P829" s="1"/>
      <c r="Q829" s="1"/>
      <c r="R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P830" s="1"/>
      <c r="Q830" s="1"/>
      <c r="R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P831" s="1"/>
      <c r="Q831" s="1"/>
      <c r="R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P832" s="1"/>
      <c r="Q832" s="1"/>
      <c r="R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P833" s="1"/>
      <c r="Q833" s="1"/>
      <c r="R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P834" s="1"/>
      <c r="Q834" s="1"/>
      <c r="R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P835" s="1"/>
      <c r="Q835" s="1"/>
      <c r="R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P836" s="1"/>
      <c r="Q836" s="1"/>
      <c r="R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P837" s="1"/>
      <c r="Q837" s="1"/>
      <c r="R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P838" s="1"/>
      <c r="Q838" s="1"/>
      <c r="R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P839" s="1"/>
      <c r="Q839" s="1"/>
      <c r="R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P840" s="1"/>
      <c r="Q840" s="1"/>
      <c r="R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P841" s="1"/>
      <c r="Q841" s="1"/>
      <c r="R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P842" s="1"/>
      <c r="Q842" s="1"/>
      <c r="R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P843" s="1"/>
      <c r="Q843" s="1"/>
      <c r="R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P844" s="1"/>
      <c r="Q844" s="1"/>
      <c r="R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P845" s="1"/>
      <c r="Q845" s="1"/>
      <c r="R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P846" s="1"/>
      <c r="Q846" s="1"/>
      <c r="R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P847" s="1"/>
      <c r="Q847" s="1"/>
      <c r="R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P848" s="1"/>
      <c r="Q848" s="1"/>
      <c r="R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P849" s="1"/>
      <c r="Q849" s="1"/>
      <c r="R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P850" s="1"/>
      <c r="Q850" s="1"/>
      <c r="R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P851" s="1"/>
      <c r="Q851" s="1"/>
      <c r="R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P852" s="1"/>
      <c r="Q852" s="1"/>
      <c r="R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P853" s="1"/>
      <c r="Q853" s="1"/>
      <c r="R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P854" s="1"/>
      <c r="Q854" s="1"/>
      <c r="R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P855" s="1"/>
      <c r="Q855" s="1"/>
      <c r="R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P856" s="1"/>
      <c r="Q856" s="1"/>
      <c r="R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P857" s="1"/>
      <c r="Q857" s="1"/>
      <c r="R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P858" s="1"/>
      <c r="Q858" s="1"/>
      <c r="R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P859" s="1"/>
      <c r="Q859" s="1"/>
      <c r="R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P860" s="1"/>
      <c r="Q860" s="1"/>
      <c r="R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P861" s="1"/>
      <c r="Q861" s="1"/>
      <c r="R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P862" s="1"/>
      <c r="Q862" s="1"/>
      <c r="R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P863" s="1"/>
      <c r="Q863" s="1"/>
      <c r="R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P864" s="1"/>
      <c r="Q864" s="1"/>
      <c r="R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P865" s="1"/>
      <c r="Q865" s="1"/>
      <c r="R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P866" s="1"/>
      <c r="Q866" s="1"/>
      <c r="R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P867" s="1"/>
      <c r="Q867" s="1"/>
      <c r="R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P868" s="1"/>
      <c r="Q868" s="1"/>
      <c r="R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P869" s="1"/>
      <c r="Q869" s="1"/>
      <c r="R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P870" s="1"/>
      <c r="Q870" s="1"/>
      <c r="R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P871" s="1"/>
      <c r="Q871" s="1"/>
      <c r="R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P872" s="1"/>
      <c r="Q872" s="1"/>
      <c r="R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P873" s="1"/>
      <c r="Q873" s="1"/>
      <c r="R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P874" s="1"/>
      <c r="Q874" s="1"/>
      <c r="R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P875" s="1"/>
      <c r="Q875" s="1"/>
      <c r="R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P876" s="1"/>
      <c r="Q876" s="1"/>
      <c r="R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P877" s="1"/>
      <c r="Q877" s="1"/>
      <c r="R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P878" s="1"/>
      <c r="Q878" s="1"/>
      <c r="R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P879" s="1"/>
      <c r="Q879" s="1"/>
      <c r="R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P880" s="1"/>
      <c r="Q880" s="1"/>
      <c r="R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P881" s="1"/>
      <c r="Q881" s="1"/>
      <c r="R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P882" s="1"/>
      <c r="Q882" s="1"/>
      <c r="R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P883" s="1"/>
      <c r="Q883" s="1"/>
      <c r="R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P884" s="1"/>
      <c r="Q884" s="1"/>
      <c r="R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P885" s="1"/>
      <c r="Q885" s="1"/>
      <c r="R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P886" s="1"/>
      <c r="Q886" s="1"/>
      <c r="R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P887" s="1"/>
      <c r="Q887" s="1"/>
      <c r="R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P888" s="1"/>
      <c r="Q888" s="1"/>
      <c r="R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P889" s="1"/>
      <c r="Q889" s="1"/>
      <c r="R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P890" s="1"/>
      <c r="Q890" s="1"/>
      <c r="R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P891" s="1"/>
      <c r="Q891" s="1"/>
      <c r="R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P892" s="1"/>
      <c r="Q892" s="1"/>
      <c r="R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P893" s="1"/>
      <c r="Q893" s="1"/>
      <c r="R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P894" s="1"/>
      <c r="Q894" s="1"/>
      <c r="R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P895" s="1"/>
      <c r="Q895" s="1"/>
      <c r="R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P896" s="1"/>
      <c r="Q896" s="1"/>
      <c r="R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P897" s="1"/>
      <c r="Q897" s="1"/>
      <c r="R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P898" s="1"/>
      <c r="Q898" s="1"/>
      <c r="R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P899" s="1"/>
      <c r="Q899" s="1"/>
      <c r="R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P900" s="1"/>
      <c r="Q900" s="1"/>
      <c r="R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P901" s="1"/>
      <c r="Q901" s="1"/>
      <c r="R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P902" s="1"/>
      <c r="Q902" s="1"/>
      <c r="R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P903" s="1"/>
      <c r="Q903" s="1"/>
      <c r="R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P904" s="1"/>
      <c r="Q904" s="1"/>
      <c r="R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P905" s="1"/>
      <c r="Q905" s="1"/>
      <c r="R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P906" s="1"/>
      <c r="Q906" s="1"/>
      <c r="R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P907" s="1"/>
      <c r="Q907" s="1"/>
      <c r="R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P908" s="1"/>
      <c r="Q908" s="1"/>
      <c r="R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P909" s="1"/>
      <c r="Q909" s="1"/>
      <c r="R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P910" s="1"/>
      <c r="Q910" s="1"/>
      <c r="R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P911" s="1"/>
      <c r="Q911" s="1"/>
      <c r="R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P912" s="1"/>
      <c r="Q912" s="1"/>
      <c r="R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P913" s="1"/>
      <c r="Q913" s="1"/>
      <c r="R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P914" s="1"/>
      <c r="Q914" s="1"/>
      <c r="R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P915" s="1"/>
      <c r="Q915" s="1"/>
      <c r="R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P916" s="1"/>
      <c r="Q916" s="1"/>
      <c r="R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P917" s="1"/>
      <c r="Q917" s="1"/>
      <c r="R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P918" s="1"/>
      <c r="Q918" s="1"/>
      <c r="R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P919" s="1"/>
      <c r="Q919" s="1"/>
      <c r="R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P920" s="1"/>
      <c r="Q920" s="1"/>
      <c r="R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P921" s="1"/>
      <c r="Q921" s="1"/>
      <c r="R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P922" s="1"/>
      <c r="Q922" s="1"/>
      <c r="R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P923" s="1"/>
      <c r="Q923" s="1"/>
      <c r="R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P924" s="1"/>
      <c r="Q924" s="1"/>
      <c r="R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P925" s="1"/>
      <c r="Q925" s="1"/>
      <c r="R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P926" s="1"/>
      <c r="Q926" s="1"/>
      <c r="R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P927" s="1"/>
      <c r="Q927" s="1"/>
      <c r="R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P928" s="1"/>
      <c r="Q928" s="1"/>
      <c r="R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P929" s="1"/>
      <c r="Q929" s="1"/>
      <c r="R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P930" s="1"/>
      <c r="Q930" s="1"/>
      <c r="R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P931" s="1"/>
      <c r="Q931" s="1"/>
      <c r="R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P932" s="1"/>
      <c r="Q932" s="1"/>
      <c r="R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P933" s="1"/>
      <c r="Q933" s="1"/>
      <c r="R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P934" s="1"/>
      <c r="Q934" s="1"/>
      <c r="R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P935" s="1"/>
      <c r="Q935" s="1"/>
      <c r="R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P936" s="1"/>
      <c r="Q936" s="1"/>
      <c r="R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P937" s="1"/>
      <c r="Q937" s="1"/>
      <c r="R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P938" s="1"/>
      <c r="Q938" s="1"/>
      <c r="R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P939" s="1"/>
      <c r="Q939" s="1"/>
      <c r="R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P940" s="1"/>
      <c r="Q940" s="1"/>
      <c r="R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P941" s="1"/>
      <c r="Q941" s="1"/>
      <c r="R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P942" s="1"/>
      <c r="Q942" s="1"/>
      <c r="R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P943" s="1"/>
      <c r="Q943" s="1"/>
      <c r="R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P944" s="1"/>
      <c r="Q944" s="1"/>
      <c r="R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P945" s="1"/>
      <c r="Q945" s="1"/>
      <c r="R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P946" s="1"/>
      <c r="Q946" s="1"/>
      <c r="R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P947" s="1"/>
      <c r="Q947" s="1"/>
      <c r="R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P948" s="1"/>
      <c r="Q948" s="1"/>
      <c r="R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P949" s="1"/>
      <c r="Q949" s="1"/>
      <c r="R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P950" s="1"/>
      <c r="Q950" s="1"/>
      <c r="R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P951" s="1"/>
      <c r="Q951" s="1"/>
      <c r="R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P952" s="1"/>
      <c r="Q952" s="1"/>
      <c r="R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P953" s="1"/>
      <c r="Q953" s="1"/>
      <c r="R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P954" s="1"/>
      <c r="Q954" s="1"/>
      <c r="R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P955" s="1"/>
      <c r="Q955" s="1"/>
      <c r="R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P956" s="1"/>
      <c r="Q956" s="1"/>
      <c r="R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P957" s="1"/>
      <c r="Q957" s="1"/>
      <c r="R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P958" s="1"/>
      <c r="Q958" s="1"/>
      <c r="R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P959" s="1"/>
      <c r="Q959" s="1"/>
      <c r="R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P960" s="1"/>
      <c r="Q960" s="1"/>
      <c r="R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P961" s="1"/>
      <c r="Q961" s="1"/>
      <c r="R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P962" s="1"/>
      <c r="Q962" s="1"/>
      <c r="R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P963" s="1"/>
      <c r="Q963" s="1"/>
      <c r="R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P964" s="1"/>
      <c r="Q964" s="1"/>
      <c r="R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P965" s="1"/>
      <c r="Q965" s="1"/>
      <c r="R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P966" s="1"/>
      <c r="Q966" s="1"/>
      <c r="R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P967" s="1"/>
      <c r="Q967" s="1"/>
      <c r="R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P968" s="1"/>
      <c r="Q968" s="1"/>
      <c r="R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P969" s="1"/>
      <c r="Q969" s="1"/>
      <c r="R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P970" s="1"/>
      <c r="Q970" s="1"/>
      <c r="R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P971" s="1"/>
      <c r="Q971" s="1"/>
      <c r="R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P972" s="1"/>
      <c r="Q972" s="1"/>
      <c r="R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P973" s="1"/>
      <c r="Q973" s="1"/>
      <c r="R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P974" s="1"/>
      <c r="Q974" s="1"/>
      <c r="R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P975" s="1"/>
      <c r="Q975" s="1"/>
      <c r="R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P976" s="1"/>
      <c r="Q976" s="1"/>
      <c r="R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P977" s="1"/>
      <c r="Q977" s="1"/>
      <c r="R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P978" s="1"/>
      <c r="Q978" s="1"/>
      <c r="R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P979" s="1"/>
      <c r="Q979" s="1"/>
      <c r="R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P980" s="1"/>
      <c r="Q980" s="1"/>
      <c r="R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P981" s="1"/>
      <c r="Q981" s="1"/>
      <c r="R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P982" s="1"/>
      <c r="Q982" s="1"/>
      <c r="R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P983" s="1"/>
      <c r="Q983" s="1"/>
      <c r="R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P984" s="1"/>
      <c r="Q984" s="1"/>
      <c r="R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P985" s="1"/>
      <c r="Q985" s="1"/>
      <c r="R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P986" s="1"/>
      <c r="Q986" s="1"/>
      <c r="R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P987" s="1"/>
      <c r="Q987" s="1"/>
      <c r="R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P988" s="1"/>
      <c r="Q988" s="1"/>
      <c r="R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P989" s="1"/>
      <c r="Q989" s="1"/>
      <c r="R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P990" s="1"/>
      <c r="Q990" s="1"/>
      <c r="R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P991" s="1"/>
      <c r="Q991" s="1"/>
      <c r="R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P992" s="1"/>
      <c r="Q992" s="1"/>
      <c r="R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P993" s="1"/>
      <c r="Q993" s="1"/>
      <c r="R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P994" s="1"/>
      <c r="Q994" s="1"/>
      <c r="R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P995" s="1"/>
      <c r="Q995" s="1"/>
      <c r="R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P996" s="1"/>
      <c r="Q996" s="1"/>
      <c r="R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P997" s="1"/>
      <c r="Q997" s="1"/>
      <c r="R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P998" s="1"/>
      <c r="Q998" s="1"/>
      <c r="R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P999" s="1"/>
      <c r="Q999" s="1"/>
      <c r="R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P1000" s="1"/>
      <c r="Q1000" s="1"/>
      <c r="R1000" s="1"/>
    </row>
  </sheetData>
  <mergeCells count="4">
    <mergeCell ref="B2:D2"/>
    <mergeCell ref="B3:D3"/>
    <mergeCell ref="P4:R4"/>
    <mergeCell ref="J15:K15"/>
  </mergeCells>
  <dataValidations>
    <dataValidation type="list" allowBlank="1" sqref="Q6:Q55">
      <formula1>Setup!$B$6:$B$13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3.0"/>
    <col customWidth="1" min="2" max="2" width="16.0"/>
    <col customWidth="1" min="3" max="3" width="11.0"/>
    <col customWidth="1" min="4" max="4" width="20.0"/>
    <col customWidth="1" min="5" max="5" width="28.0"/>
    <col customWidth="1" min="6" max="6" width="15.0"/>
    <col customWidth="1" min="7" max="7" width="16.0"/>
    <col customWidth="1" min="8" max="8" width="26.0"/>
    <col customWidth="1" min="9" max="9" width="30.0"/>
    <col customWidth="1" min="10" max="10" width="22.0"/>
    <col customWidth="1" min="11" max="11" width="26.0"/>
    <col customWidth="1" min="12" max="26" width="8.71"/>
  </cols>
  <sheetData>
    <row r="1" ht="21.75" customHeight="1">
      <c r="A1" s="2" t="s">
        <v>71</v>
      </c>
    </row>
    <row r="2" ht="15.0" customHeight="1">
      <c r="A2" s="3" t="s">
        <v>72</v>
      </c>
    </row>
    <row r="3" ht="15.0" customHeight="1">
      <c r="A3" s="1"/>
      <c r="B3" s="1"/>
      <c r="C3" s="1"/>
      <c r="D3" s="1"/>
      <c r="E3" s="1"/>
      <c r="F3" s="4" t="s">
        <v>73</v>
      </c>
      <c r="H3" s="31">
        <f>SUMIFS(F6:F500,C6:C500,"Income")-SUMIFS(F6:F500,C6:C500,"Expense")</f>
        <v>0</v>
      </c>
      <c r="I3" s="1"/>
      <c r="J3" s="1"/>
      <c r="K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ht="27.75" customHeight="1">
      <c r="A5" s="15" t="s">
        <v>74</v>
      </c>
      <c r="B5" s="15" t="s">
        <v>10</v>
      </c>
      <c r="C5" s="15" t="s">
        <v>75</v>
      </c>
      <c r="D5" s="15" t="s">
        <v>76</v>
      </c>
      <c r="E5" s="15" t="s">
        <v>77</v>
      </c>
      <c r="F5" s="15" t="s">
        <v>78</v>
      </c>
      <c r="G5" s="15" t="s">
        <v>44</v>
      </c>
      <c r="H5" s="15" t="s">
        <v>79</v>
      </c>
      <c r="I5" s="15" t="s">
        <v>80</v>
      </c>
      <c r="J5" s="15" t="s">
        <v>81</v>
      </c>
      <c r="K5" s="15" t="s">
        <v>82</v>
      </c>
    </row>
    <row r="6" ht="15.0" customHeight="1">
      <c r="A6" s="32"/>
      <c r="B6" s="33"/>
      <c r="C6" s="33"/>
      <c r="D6" s="33"/>
      <c r="E6" s="33"/>
      <c r="F6" s="34"/>
      <c r="G6" s="33"/>
      <c r="H6" s="33"/>
      <c r="I6" s="33"/>
      <c r="J6" s="33"/>
      <c r="K6" s="33"/>
    </row>
    <row r="7" ht="15.0" customHeight="1">
      <c r="A7" s="35"/>
      <c r="B7" s="25"/>
      <c r="C7" s="25"/>
      <c r="D7" s="25"/>
      <c r="E7" s="25"/>
      <c r="F7" s="36"/>
      <c r="G7" s="25"/>
      <c r="H7" s="25"/>
      <c r="I7" s="25"/>
      <c r="J7" s="16"/>
      <c r="K7" s="16"/>
    </row>
    <row r="8" ht="15.0" customHeight="1">
      <c r="A8" s="37"/>
      <c r="B8" s="38"/>
      <c r="C8" s="38"/>
      <c r="D8" s="38"/>
      <c r="E8" s="38"/>
      <c r="F8" s="39"/>
      <c r="G8" s="38"/>
      <c r="H8" s="38"/>
      <c r="I8" s="38"/>
      <c r="J8" s="33"/>
      <c r="K8" s="33"/>
    </row>
    <row r="9" ht="15.0" customHeight="1">
      <c r="A9" s="40"/>
      <c r="B9" s="16"/>
      <c r="C9" s="16"/>
      <c r="D9" s="16"/>
      <c r="E9" s="16"/>
      <c r="F9" s="41"/>
      <c r="G9" s="16"/>
      <c r="H9" s="16"/>
      <c r="I9" s="16"/>
      <c r="J9" s="16"/>
      <c r="K9" s="16"/>
    </row>
    <row r="10" ht="15.0" customHeight="1">
      <c r="A10" s="32"/>
      <c r="B10" s="33"/>
      <c r="C10" s="33"/>
      <c r="D10" s="33"/>
      <c r="E10" s="33"/>
      <c r="F10" s="34"/>
      <c r="G10" s="33"/>
      <c r="H10" s="33"/>
      <c r="I10" s="33"/>
      <c r="J10" s="33"/>
      <c r="K10" s="33"/>
    </row>
    <row r="11" ht="15.0" customHeight="1">
      <c r="A11" s="40"/>
      <c r="B11" s="16"/>
      <c r="C11" s="16"/>
      <c r="D11" s="16"/>
      <c r="E11" s="16"/>
      <c r="F11" s="41"/>
      <c r="G11" s="16"/>
      <c r="H11" s="16"/>
      <c r="I11" s="16"/>
      <c r="J11" s="16"/>
      <c r="K11" s="16"/>
    </row>
    <row r="12" ht="15.0" customHeight="1">
      <c r="A12" s="32"/>
      <c r="B12" s="33"/>
      <c r="C12" s="33"/>
      <c r="D12" s="33"/>
      <c r="E12" s="33"/>
      <c r="F12" s="34"/>
      <c r="G12" s="33"/>
      <c r="H12" s="33"/>
      <c r="I12" s="33"/>
      <c r="J12" s="33"/>
      <c r="K12" s="33"/>
    </row>
    <row r="13" ht="15.0" customHeight="1">
      <c r="A13" s="40"/>
      <c r="B13" s="16"/>
      <c r="C13" s="16"/>
      <c r="D13" s="16"/>
      <c r="E13" s="16"/>
      <c r="F13" s="41"/>
      <c r="G13" s="16"/>
      <c r="H13" s="16"/>
      <c r="I13" s="16"/>
      <c r="J13" s="16"/>
      <c r="K13" s="16"/>
    </row>
    <row r="14" ht="15.0" customHeight="1">
      <c r="A14" s="32"/>
      <c r="B14" s="33"/>
      <c r="C14" s="33"/>
      <c r="D14" s="33"/>
      <c r="E14" s="33"/>
      <c r="F14" s="34"/>
      <c r="G14" s="33"/>
      <c r="H14" s="33"/>
      <c r="I14" s="33"/>
      <c r="J14" s="33"/>
      <c r="K14" s="33"/>
    </row>
    <row r="15" ht="15.0" customHeight="1">
      <c r="A15" s="40"/>
      <c r="B15" s="16"/>
      <c r="C15" s="16"/>
      <c r="D15" s="16"/>
      <c r="E15" s="16"/>
      <c r="F15" s="41"/>
      <c r="G15" s="16"/>
      <c r="H15" s="16"/>
      <c r="I15" s="16"/>
      <c r="J15" s="16"/>
      <c r="K15" s="16"/>
    </row>
    <row r="16" ht="15.0" customHeight="1">
      <c r="A16" s="32"/>
      <c r="B16" s="33"/>
      <c r="C16" s="33"/>
      <c r="D16" s="33"/>
      <c r="E16" s="33"/>
      <c r="F16" s="34"/>
      <c r="G16" s="33"/>
      <c r="H16" s="33"/>
      <c r="I16" s="33"/>
      <c r="J16" s="33"/>
      <c r="K16" s="33"/>
    </row>
    <row r="17" ht="15.0" customHeight="1">
      <c r="A17" s="40"/>
      <c r="B17" s="16"/>
      <c r="C17" s="16"/>
      <c r="D17" s="16"/>
      <c r="E17" s="16"/>
      <c r="F17" s="41"/>
      <c r="G17" s="16"/>
      <c r="H17" s="16"/>
      <c r="I17" s="16"/>
      <c r="J17" s="16"/>
      <c r="K17" s="16"/>
    </row>
    <row r="18" ht="15.0" customHeight="1">
      <c r="A18" s="32"/>
      <c r="B18" s="33"/>
      <c r="C18" s="33"/>
      <c r="D18" s="33"/>
      <c r="E18" s="33"/>
      <c r="F18" s="34"/>
      <c r="G18" s="33"/>
      <c r="H18" s="33"/>
      <c r="I18" s="33"/>
      <c r="J18" s="33"/>
      <c r="K18" s="33"/>
    </row>
    <row r="19" ht="15.0" customHeight="1">
      <c r="A19" s="40"/>
      <c r="B19" s="16"/>
      <c r="C19" s="16"/>
      <c r="D19" s="16"/>
      <c r="E19" s="16"/>
      <c r="F19" s="41"/>
      <c r="G19" s="16"/>
      <c r="H19" s="16"/>
      <c r="I19" s="16"/>
      <c r="J19" s="16"/>
      <c r="K19" s="16"/>
    </row>
    <row r="20" ht="15.0" customHeight="1">
      <c r="A20" s="32"/>
      <c r="B20" s="33"/>
      <c r="C20" s="33"/>
      <c r="D20" s="33"/>
      <c r="E20" s="33"/>
      <c r="F20" s="34"/>
      <c r="G20" s="33"/>
      <c r="H20" s="33"/>
      <c r="I20" s="33"/>
      <c r="J20" s="33"/>
      <c r="K20" s="33"/>
    </row>
    <row r="21" ht="15.0" customHeight="1">
      <c r="A21" s="40"/>
      <c r="B21" s="16"/>
      <c r="C21" s="16"/>
      <c r="D21" s="16"/>
      <c r="E21" s="16"/>
      <c r="F21" s="41"/>
      <c r="G21" s="16"/>
      <c r="H21" s="16"/>
      <c r="I21" s="16"/>
      <c r="J21" s="16"/>
      <c r="K21" s="16"/>
    </row>
    <row r="22" ht="15.0" customHeight="1">
      <c r="A22" s="32"/>
      <c r="B22" s="33"/>
      <c r="C22" s="33"/>
      <c r="D22" s="33"/>
      <c r="E22" s="33"/>
      <c r="F22" s="34"/>
      <c r="G22" s="33"/>
      <c r="H22" s="33"/>
      <c r="I22" s="33"/>
      <c r="J22" s="33"/>
      <c r="K22" s="33"/>
    </row>
    <row r="23" ht="15.0" customHeight="1">
      <c r="A23" s="40"/>
      <c r="B23" s="16"/>
      <c r="C23" s="16"/>
      <c r="D23" s="16"/>
      <c r="E23" s="16"/>
      <c r="F23" s="41"/>
      <c r="G23" s="16"/>
      <c r="H23" s="16"/>
      <c r="I23" s="16"/>
      <c r="J23" s="16"/>
      <c r="K23" s="16"/>
    </row>
    <row r="24" ht="15.0" customHeight="1">
      <c r="A24" s="32"/>
      <c r="B24" s="33"/>
      <c r="C24" s="33"/>
      <c r="D24" s="33"/>
      <c r="E24" s="33"/>
      <c r="F24" s="34"/>
      <c r="G24" s="33"/>
      <c r="H24" s="33"/>
      <c r="I24" s="33"/>
      <c r="J24" s="33"/>
      <c r="K24" s="33"/>
    </row>
    <row r="25" ht="15.0" customHeight="1">
      <c r="A25" s="40"/>
      <c r="B25" s="16"/>
      <c r="C25" s="16"/>
      <c r="D25" s="16"/>
      <c r="E25" s="16"/>
      <c r="F25" s="41"/>
      <c r="G25" s="16"/>
      <c r="H25" s="16"/>
      <c r="I25" s="16"/>
      <c r="J25" s="16"/>
      <c r="K25" s="16"/>
    </row>
    <row r="26" ht="15.0" customHeight="1">
      <c r="A26" s="32"/>
      <c r="B26" s="33"/>
      <c r="C26" s="33"/>
      <c r="D26" s="33"/>
      <c r="E26" s="33"/>
      <c r="F26" s="34"/>
      <c r="G26" s="33"/>
      <c r="H26" s="33"/>
      <c r="I26" s="33"/>
      <c r="J26" s="33"/>
      <c r="K26" s="33"/>
    </row>
    <row r="27" ht="15.0" customHeight="1">
      <c r="A27" s="40"/>
      <c r="B27" s="16"/>
      <c r="C27" s="16"/>
      <c r="D27" s="16"/>
      <c r="E27" s="16"/>
      <c r="F27" s="41"/>
      <c r="G27" s="16"/>
      <c r="H27" s="16"/>
      <c r="I27" s="16"/>
      <c r="J27" s="16"/>
      <c r="K27" s="16"/>
    </row>
    <row r="28" ht="15.0" customHeight="1">
      <c r="A28" s="32"/>
      <c r="B28" s="33"/>
      <c r="C28" s="33"/>
      <c r="D28" s="33"/>
      <c r="E28" s="33"/>
      <c r="F28" s="34"/>
      <c r="G28" s="33"/>
      <c r="H28" s="33"/>
      <c r="I28" s="33"/>
      <c r="J28" s="33"/>
      <c r="K28" s="33"/>
    </row>
    <row r="29" ht="15.0" customHeight="1">
      <c r="A29" s="40"/>
      <c r="B29" s="16"/>
      <c r="C29" s="16"/>
      <c r="D29" s="16"/>
      <c r="E29" s="16"/>
      <c r="F29" s="41"/>
      <c r="G29" s="16"/>
      <c r="H29" s="16"/>
      <c r="I29" s="16"/>
      <c r="J29" s="16"/>
      <c r="K29" s="16"/>
    </row>
    <row r="30" ht="15.0" customHeight="1">
      <c r="A30" s="32"/>
      <c r="B30" s="33"/>
      <c r="C30" s="33"/>
      <c r="D30" s="33"/>
      <c r="E30" s="33"/>
      <c r="F30" s="34"/>
      <c r="G30" s="33"/>
      <c r="H30" s="33"/>
      <c r="I30" s="33"/>
      <c r="J30" s="33"/>
      <c r="K30" s="33"/>
    </row>
    <row r="31" ht="15.0" customHeight="1">
      <c r="A31" s="40"/>
      <c r="B31" s="16"/>
      <c r="C31" s="16"/>
      <c r="D31" s="16"/>
      <c r="E31" s="16"/>
      <c r="F31" s="41"/>
      <c r="G31" s="16"/>
      <c r="H31" s="16"/>
      <c r="I31" s="16"/>
      <c r="J31" s="16"/>
      <c r="K31" s="16"/>
    </row>
    <row r="32" ht="15.0" customHeight="1">
      <c r="A32" s="32"/>
      <c r="B32" s="33"/>
      <c r="C32" s="33"/>
      <c r="D32" s="33"/>
      <c r="E32" s="33"/>
      <c r="F32" s="34"/>
      <c r="G32" s="33"/>
      <c r="H32" s="33"/>
      <c r="I32" s="33"/>
      <c r="J32" s="33"/>
      <c r="K32" s="33"/>
    </row>
    <row r="33" ht="15.0" customHeight="1">
      <c r="A33" s="40"/>
      <c r="B33" s="16"/>
      <c r="C33" s="16"/>
      <c r="D33" s="16"/>
      <c r="E33" s="16"/>
      <c r="F33" s="41"/>
      <c r="G33" s="16"/>
      <c r="H33" s="16"/>
      <c r="I33" s="16"/>
      <c r="J33" s="16"/>
      <c r="K33" s="16"/>
    </row>
    <row r="34" ht="15.0" customHeight="1">
      <c r="A34" s="32"/>
      <c r="B34" s="33"/>
      <c r="C34" s="33"/>
      <c r="D34" s="33"/>
      <c r="E34" s="33"/>
      <c r="F34" s="34"/>
      <c r="G34" s="33"/>
      <c r="H34" s="33"/>
      <c r="I34" s="33"/>
      <c r="J34" s="33"/>
      <c r="K34" s="33"/>
    </row>
    <row r="35" ht="15.0" customHeight="1">
      <c r="A35" s="40"/>
      <c r="B35" s="16"/>
      <c r="C35" s="16"/>
      <c r="D35" s="16"/>
      <c r="E35" s="16"/>
      <c r="F35" s="41"/>
      <c r="G35" s="16"/>
      <c r="H35" s="16"/>
      <c r="I35" s="16"/>
      <c r="J35" s="16"/>
      <c r="K35" s="16"/>
    </row>
    <row r="36" ht="15.0" customHeight="1">
      <c r="A36" s="32"/>
      <c r="B36" s="33"/>
      <c r="C36" s="33"/>
      <c r="D36" s="33"/>
      <c r="E36" s="33"/>
      <c r="F36" s="34"/>
      <c r="G36" s="33"/>
      <c r="H36" s="33"/>
      <c r="I36" s="33"/>
      <c r="J36" s="33"/>
      <c r="K36" s="33"/>
    </row>
    <row r="37" ht="15.0" customHeight="1">
      <c r="A37" s="40"/>
      <c r="B37" s="16"/>
      <c r="C37" s="16"/>
      <c r="D37" s="16"/>
      <c r="E37" s="16"/>
      <c r="F37" s="41"/>
      <c r="G37" s="16"/>
      <c r="H37" s="16"/>
      <c r="I37" s="16"/>
      <c r="J37" s="16"/>
      <c r="K37" s="16"/>
    </row>
    <row r="38" ht="15.0" customHeight="1">
      <c r="A38" s="32"/>
      <c r="B38" s="33"/>
      <c r="C38" s="33"/>
      <c r="D38" s="33"/>
      <c r="E38" s="33"/>
      <c r="F38" s="34"/>
      <c r="G38" s="33"/>
      <c r="H38" s="33"/>
      <c r="I38" s="33"/>
      <c r="J38" s="33"/>
      <c r="K38" s="33"/>
    </row>
    <row r="39" ht="15.0" customHeight="1">
      <c r="A39" s="40"/>
      <c r="B39" s="16"/>
      <c r="C39" s="16"/>
      <c r="D39" s="16"/>
      <c r="E39" s="16"/>
      <c r="F39" s="41"/>
      <c r="G39" s="16"/>
      <c r="H39" s="16"/>
      <c r="I39" s="16"/>
      <c r="J39" s="16"/>
      <c r="K39" s="16"/>
    </row>
    <row r="40" ht="15.0" customHeight="1">
      <c r="A40" s="32"/>
      <c r="B40" s="33"/>
      <c r="C40" s="33"/>
      <c r="D40" s="33"/>
      <c r="E40" s="33"/>
      <c r="F40" s="34"/>
      <c r="G40" s="33"/>
      <c r="H40" s="33"/>
      <c r="I40" s="33"/>
      <c r="J40" s="33"/>
      <c r="K40" s="33"/>
    </row>
    <row r="41" ht="15.0" customHeight="1">
      <c r="A41" s="40"/>
      <c r="B41" s="16"/>
      <c r="C41" s="16"/>
      <c r="D41" s="16"/>
      <c r="E41" s="16"/>
      <c r="F41" s="41"/>
      <c r="G41" s="16"/>
      <c r="H41" s="16"/>
      <c r="I41" s="16"/>
      <c r="J41" s="16"/>
      <c r="K41" s="16"/>
    </row>
    <row r="42" ht="15.0" customHeight="1">
      <c r="A42" s="32"/>
      <c r="B42" s="33"/>
      <c r="C42" s="33"/>
      <c r="D42" s="33"/>
      <c r="E42" s="33"/>
      <c r="F42" s="34"/>
      <c r="G42" s="33"/>
      <c r="H42" s="33"/>
      <c r="I42" s="33"/>
      <c r="J42" s="33"/>
      <c r="K42" s="33"/>
    </row>
    <row r="43" ht="15.0" customHeight="1">
      <c r="A43" s="40"/>
      <c r="B43" s="16"/>
      <c r="C43" s="16"/>
      <c r="D43" s="16"/>
      <c r="E43" s="16"/>
      <c r="F43" s="41"/>
      <c r="G43" s="16"/>
      <c r="H43" s="16"/>
      <c r="I43" s="16"/>
      <c r="J43" s="16"/>
      <c r="K43" s="16"/>
    </row>
    <row r="44" ht="15.0" customHeight="1">
      <c r="A44" s="32"/>
      <c r="B44" s="33"/>
      <c r="C44" s="33"/>
      <c r="D44" s="33"/>
      <c r="E44" s="33"/>
      <c r="F44" s="34"/>
      <c r="G44" s="33"/>
      <c r="H44" s="33"/>
      <c r="I44" s="33"/>
      <c r="J44" s="33"/>
      <c r="K44" s="33"/>
    </row>
    <row r="45" ht="15.0" customHeight="1">
      <c r="A45" s="40"/>
      <c r="B45" s="16"/>
      <c r="C45" s="16"/>
      <c r="D45" s="16"/>
      <c r="E45" s="16"/>
      <c r="F45" s="41"/>
      <c r="G45" s="16"/>
      <c r="H45" s="16"/>
      <c r="I45" s="16"/>
      <c r="J45" s="16"/>
      <c r="K45" s="16"/>
    </row>
    <row r="46" ht="15.0" customHeight="1">
      <c r="A46" s="32"/>
      <c r="B46" s="33"/>
      <c r="C46" s="33"/>
      <c r="D46" s="33"/>
      <c r="E46" s="33"/>
      <c r="F46" s="34"/>
      <c r="G46" s="33"/>
      <c r="H46" s="33"/>
      <c r="I46" s="33"/>
      <c r="J46" s="33"/>
      <c r="K46" s="33"/>
    </row>
    <row r="47" ht="15.0" customHeight="1">
      <c r="A47" s="40"/>
      <c r="B47" s="16"/>
      <c r="C47" s="16"/>
      <c r="D47" s="16"/>
      <c r="E47" s="16"/>
      <c r="F47" s="41"/>
      <c r="G47" s="16"/>
      <c r="H47" s="16"/>
      <c r="I47" s="16"/>
      <c r="J47" s="16"/>
      <c r="K47" s="16"/>
    </row>
    <row r="48" ht="15.0" customHeight="1">
      <c r="A48" s="32"/>
      <c r="B48" s="33"/>
      <c r="C48" s="33"/>
      <c r="D48" s="33"/>
      <c r="E48" s="33"/>
      <c r="F48" s="34"/>
      <c r="G48" s="33"/>
      <c r="H48" s="33"/>
      <c r="I48" s="33"/>
      <c r="J48" s="33"/>
      <c r="K48" s="33"/>
    </row>
    <row r="49" ht="15.0" customHeight="1">
      <c r="A49" s="40"/>
      <c r="B49" s="16"/>
      <c r="C49" s="16"/>
      <c r="D49" s="16"/>
      <c r="E49" s="16"/>
      <c r="F49" s="41"/>
      <c r="G49" s="16"/>
      <c r="H49" s="16"/>
      <c r="I49" s="16"/>
      <c r="J49" s="16"/>
      <c r="K49" s="16"/>
    </row>
    <row r="50" ht="15.0" customHeight="1">
      <c r="A50" s="32"/>
      <c r="B50" s="33"/>
      <c r="C50" s="33"/>
      <c r="D50" s="33"/>
      <c r="E50" s="33"/>
      <c r="F50" s="34"/>
      <c r="G50" s="33"/>
      <c r="H50" s="33"/>
      <c r="I50" s="33"/>
      <c r="J50" s="33"/>
      <c r="K50" s="33"/>
    </row>
    <row r="51" ht="15.0" customHeight="1">
      <c r="A51" s="40"/>
      <c r="B51" s="16"/>
      <c r="C51" s="16"/>
      <c r="D51" s="16"/>
      <c r="E51" s="16"/>
      <c r="F51" s="41"/>
      <c r="G51" s="16"/>
      <c r="H51" s="16"/>
      <c r="I51" s="16"/>
      <c r="J51" s="16"/>
      <c r="K51" s="16"/>
    </row>
    <row r="52" ht="15.0" customHeight="1">
      <c r="A52" s="32"/>
      <c r="B52" s="33"/>
      <c r="C52" s="33"/>
      <c r="D52" s="33"/>
      <c r="E52" s="33"/>
      <c r="F52" s="34"/>
      <c r="G52" s="33"/>
      <c r="H52" s="33"/>
      <c r="I52" s="33"/>
      <c r="J52" s="33"/>
      <c r="K52" s="33"/>
    </row>
    <row r="53" ht="15.0" customHeight="1">
      <c r="A53" s="40"/>
      <c r="B53" s="16"/>
      <c r="C53" s="16"/>
      <c r="D53" s="16"/>
      <c r="E53" s="16"/>
      <c r="F53" s="41"/>
      <c r="G53" s="16"/>
      <c r="H53" s="16"/>
      <c r="I53" s="16"/>
      <c r="J53" s="16"/>
      <c r="K53" s="16"/>
    </row>
    <row r="54" ht="15.0" customHeight="1">
      <c r="A54" s="32"/>
      <c r="B54" s="33"/>
      <c r="C54" s="33"/>
      <c r="D54" s="33"/>
      <c r="E54" s="33"/>
      <c r="F54" s="34"/>
      <c r="G54" s="33"/>
      <c r="H54" s="33"/>
      <c r="I54" s="33"/>
      <c r="J54" s="33"/>
      <c r="K54" s="33"/>
    </row>
    <row r="55" ht="15.0" customHeight="1">
      <c r="A55" s="40"/>
      <c r="B55" s="16"/>
      <c r="C55" s="16"/>
      <c r="D55" s="16"/>
      <c r="E55" s="16"/>
      <c r="F55" s="41"/>
      <c r="G55" s="16"/>
      <c r="H55" s="16"/>
      <c r="I55" s="16"/>
      <c r="J55" s="16"/>
      <c r="K55" s="16"/>
    </row>
    <row r="56" ht="15.0" customHeight="1">
      <c r="A56" s="32"/>
      <c r="B56" s="33"/>
      <c r="C56" s="33"/>
      <c r="D56" s="33"/>
      <c r="E56" s="33"/>
      <c r="F56" s="34"/>
      <c r="G56" s="33"/>
      <c r="H56" s="33"/>
      <c r="I56" s="33"/>
      <c r="J56" s="33"/>
      <c r="K56" s="33"/>
    </row>
    <row r="57" ht="15.0" customHeight="1">
      <c r="A57" s="40"/>
      <c r="B57" s="16"/>
      <c r="C57" s="16"/>
      <c r="D57" s="16"/>
      <c r="E57" s="16"/>
      <c r="F57" s="41"/>
      <c r="G57" s="16"/>
      <c r="H57" s="16"/>
      <c r="I57" s="16"/>
      <c r="J57" s="16"/>
      <c r="K57" s="16"/>
    </row>
    <row r="58" ht="15.0" customHeight="1">
      <c r="A58" s="32"/>
      <c r="B58" s="33"/>
      <c r="C58" s="33"/>
      <c r="D58" s="33"/>
      <c r="E58" s="33"/>
      <c r="F58" s="34"/>
      <c r="G58" s="33"/>
      <c r="H58" s="33"/>
      <c r="I58" s="33"/>
      <c r="J58" s="33"/>
      <c r="K58" s="33"/>
    </row>
    <row r="59" ht="15.0" customHeight="1">
      <c r="A59" s="40"/>
      <c r="B59" s="16"/>
      <c r="C59" s="16"/>
      <c r="D59" s="16"/>
      <c r="E59" s="16"/>
      <c r="F59" s="41"/>
      <c r="G59" s="16"/>
      <c r="H59" s="16"/>
      <c r="I59" s="16"/>
      <c r="J59" s="16"/>
      <c r="K59" s="16"/>
    </row>
    <row r="60" ht="15.0" customHeight="1">
      <c r="A60" s="32"/>
      <c r="B60" s="33"/>
      <c r="C60" s="33"/>
      <c r="D60" s="33"/>
      <c r="E60" s="33"/>
      <c r="F60" s="34"/>
      <c r="G60" s="33"/>
      <c r="H60" s="33"/>
      <c r="I60" s="33"/>
      <c r="J60" s="33"/>
      <c r="K60" s="33"/>
    </row>
    <row r="61" ht="15.0" customHeight="1">
      <c r="A61" s="40"/>
      <c r="B61" s="16"/>
      <c r="C61" s="16"/>
      <c r="D61" s="16"/>
      <c r="E61" s="16"/>
      <c r="F61" s="41"/>
      <c r="G61" s="16"/>
      <c r="H61" s="16"/>
      <c r="I61" s="16"/>
      <c r="J61" s="16"/>
      <c r="K61" s="16"/>
    </row>
    <row r="62" ht="15.0" customHeight="1">
      <c r="A62" s="32"/>
      <c r="B62" s="33"/>
      <c r="C62" s="33"/>
      <c r="D62" s="33"/>
      <c r="E62" s="33"/>
      <c r="F62" s="34"/>
      <c r="G62" s="33"/>
      <c r="H62" s="33"/>
      <c r="I62" s="33"/>
      <c r="J62" s="33"/>
      <c r="K62" s="33"/>
    </row>
    <row r="63" ht="15.0" customHeight="1">
      <c r="A63" s="40"/>
      <c r="B63" s="16"/>
      <c r="C63" s="16"/>
      <c r="D63" s="16"/>
      <c r="E63" s="16"/>
      <c r="F63" s="41"/>
      <c r="G63" s="16"/>
      <c r="H63" s="16"/>
      <c r="I63" s="16"/>
      <c r="J63" s="16"/>
      <c r="K63" s="16"/>
    </row>
    <row r="64" ht="15.0" customHeight="1">
      <c r="A64" s="32"/>
      <c r="B64" s="33"/>
      <c r="C64" s="33"/>
      <c r="D64" s="33"/>
      <c r="E64" s="33"/>
      <c r="F64" s="34"/>
      <c r="G64" s="33"/>
      <c r="H64" s="33"/>
      <c r="I64" s="33"/>
      <c r="J64" s="33"/>
      <c r="K64" s="33"/>
    </row>
    <row r="65" ht="15.0" customHeight="1">
      <c r="A65" s="40"/>
      <c r="B65" s="16"/>
      <c r="C65" s="16"/>
      <c r="D65" s="16"/>
      <c r="E65" s="16"/>
      <c r="F65" s="41"/>
      <c r="G65" s="16"/>
      <c r="H65" s="16"/>
      <c r="I65" s="16"/>
      <c r="J65" s="16"/>
      <c r="K65" s="16"/>
    </row>
    <row r="66" ht="15.0" customHeight="1">
      <c r="A66" s="32"/>
      <c r="B66" s="33"/>
      <c r="C66" s="33"/>
      <c r="D66" s="33"/>
      <c r="E66" s="33"/>
      <c r="F66" s="34"/>
      <c r="G66" s="33"/>
      <c r="H66" s="33"/>
      <c r="I66" s="33"/>
      <c r="J66" s="33"/>
      <c r="K66" s="33"/>
    </row>
    <row r="67" ht="15.0" customHeight="1">
      <c r="A67" s="40"/>
      <c r="B67" s="16"/>
      <c r="C67" s="16"/>
      <c r="D67" s="16"/>
      <c r="E67" s="16"/>
      <c r="F67" s="41"/>
      <c r="G67" s="16"/>
      <c r="H67" s="16"/>
      <c r="I67" s="16"/>
      <c r="J67" s="16"/>
      <c r="K67" s="16"/>
    </row>
    <row r="68" ht="15.0" customHeight="1">
      <c r="A68" s="32"/>
      <c r="B68" s="33"/>
      <c r="C68" s="33"/>
      <c r="D68" s="33"/>
      <c r="E68" s="33"/>
      <c r="F68" s="34"/>
      <c r="G68" s="33"/>
      <c r="H68" s="33"/>
      <c r="I68" s="33"/>
      <c r="J68" s="33"/>
      <c r="K68" s="33"/>
    </row>
    <row r="69" ht="15.0" customHeight="1">
      <c r="A69" s="40"/>
      <c r="B69" s="16"/>
      <c r="C69" s="16"/>
      <c r="D69" s="16"/>
      <c r="E69" s="16"/>
      <c r="F69" s="41"/>
      <c r="G69" s="16"/>
      <c r="H69" s="16"/>
      <c r="I69" s="16"/>
      <c r="J69" s="16"/>
      <c r="K69" s="16"/>
    </row>
    <row r="70" ht="15.0" customHeight="1">
      <c r="A70" s="32"/>
      <c r="B70" s="33"/>
      <c r="C70" s="33"/>
      <c r="D70" s="33"/>
      <c r="E70" s="33"/>
      <c r="F70" s="34"/>
      <c r="G70" s="33"/>
      <c r="H70" s="33"/>
      <c r="I70" s="33"/>
      <c r="J70" s="33"/>
      <c r="K70" s="33"/>
    </row>
    <row r="71" ht="15.0" customHeight="1">
      <c r="A71" s="40"/>
      <c r="B71" s="16"/>
      <c r="C71" s="16"/>
      <c r="D71" s="16"/>
      <c r="E71" s="16"/>
      <c r="F71" s="41"/>
      <c r="G71" s="16"/>
      <c r="H71" s="16"/>
      <c r="I71" s="16"/>
      <c r="J71" s="16"/>
      <c r="K71" s="16"/>
    </row>
    <row r="72" ht="15.0" customHeight="1">
      <c r="A72" s="32"/>
      <c r="B72" s="33"/>
      <c r="C72" s="33"/>
      <c r="D72" s="33"/>
      <c r="E72" s="33"/>
      <c r="F72" s="34"/>
      <c r="G72" s="33"/>
      <c r="H72" s="33"/>
      <c r="I72" s="33"/>
      <c r="J72" s="33"/>
      <c r="K72" s="33"/>
    </row>
    <row r="73" ht="15.0" customHeight="1">
      <c r="A73" s="40"/>
      <c r="B73" s="16"/>
      <c r="C73" s="16"/>
      <c r="D73" s="16"/>
      <c r="E73" s="16"/>
      <c r="F73" s="41"/>
      <c r="G73" s="16"/>
      <c r="H73" s="16"/>
      <c r="I73" s="16"/>
      <c r="J73" s="16"/>
      <c r="K73" s="16"/>
    </row>
    <row r="74" ht="15.0" customHeight="1">
      <c r="A74" s="32"/>
      <c r="B74" s="33"/>
      <c r="C74" s="33"/>
      <c r="D74" s="33"/>
      <c r="E74" s="33"/>
      <c r="F74" s="34"/>
      <c r="G74" s="33"/>
      <c r="H74" s="33"/>
      <c r="I74" s="33"/>
      <c r="J74" s="33"/>
      <c r="K74" s="33"/>
    </row>
    <row r="75" ht="15.0" customHeight="1">
      <c r="A75" s="40"/>
      <c r="B75" s="16"/>
      <c r="C75" s="16"/>
      <c r="D75" s="16"/>
      <c r="E75" s="16"/>
      <c r="F75" s="41"/>
      <c r="G75" s="16"/>
      <c r="H75" s="16"/>
      <c r="I75" s="16"/>
      <c r="J75" s="16"/>
      <c r="K75" s="16"/>
    </row>
    <row r="76" ht="15.0" customHeight="1">
      <c r="A76" s="32"/>
      <c r="B76" s="33"/>
      <c r="C76" s="33"/>
      <c r="D76" s="33"/>
      <c r="E76" s="33"/>
      <c r="F76" s="34"/>
      <c r="G76" s="33"/>
      <c r="H76" s="33"/>
      <c r="I76" s="33"/>
      <c r="J76" s="33"/>
      <c r="K76" s="33"/>
    </row>
    <row r="77" ht="15.0" customHeight="1">
      <c r="A77" s="40"/>
      <c r="B77" s="16"/>
      <c r="C77" s="16"/>
      <c r="D77" s="16"/>
      <c r="E77" s="16"/>
      <c r="F77" s="41"/>
      <c r="G77" s="16"/>
      <c r="H77" s="16"/>
      <c r="I77" s="16"/>
      <c r="J77" s="16"/>
      <c r="K77" s="16"/>
    </row>
    <row r="78" ht="15.0" customHeight="1">
      <c r="A78" s="32"/>
      <c r="B78" s="33"/>
      <c r="C78" s="33"/>
      <c r="D78" s="33"/>
      <c r="E78" s="33"/>
      <c r="F78" s="34"/>
      <c r="G78" s="33"/>
      <c r="H78" s="33"/>
      <c r="I78" s="33"/>
      <c r="J78" s="33"/>
      <c r="K78" s="33"/>
    </row>
    <row r="79" ht="15.0" customHeight="1">
      <c r="A79" s="40"/>
      <c r="B79" s="16"/>
      <c r="C79" s="16"/>
      <c r="D79" s="16"/>
      <c r="E79" s="16"/>
      <c r="F79" s="41"/>
      <c r="G79" s="16"/>
      <c r="H79" s="16"/>
      <c r="I79" s="16"/>
      <c r="J79" s="16"/>
      <c r="K79" s="16"/>
    </row>
    <row r="80" ht="15.0" customHeight="1">
      <c r="A80" s="32"/>
      <c r="B80" s="33"/>
      <c r="C80" s="33"/>
      <c r="D80" s="33"/>
      <c r="E80" s="33"/>
      <c r="F80" s="34"/>
      <c r="G80" s="33"/>
      <c r="H80" s="33"/>
      <c r="I80" s="33"/>
      <c r="J80" s="33"/>
      <c r="K80" s="33"/>
    </row>
    <row r="81" ht="15.0" customHeight="1">
      <c r="A81" s="40"/>
      <c r="B81" s="16"/>
      <c r="C81" s="16"/>
      <c r="D81" s="16"/>
      <c r="E81" s="16"/>
      <c r="F81" s="41"/>
      <c r="G81" s="16"/>
      <c r="H81" s="16"/>
      <c r="I81" s="16"/>
      <c r="J81" s="16"/>
      <c r="K81" s="16"/>
    </row>
    <row r="82" ht="15.0" customHeight="1">
      <c r="A82" s="32"/>
      <c r="B82" s="33"/>
      <c r="C82" s="33"/>
      <c r="D82" s="33"/>
      <c r="E82" s="33"/>
      <c r="F82" s="34"/>
      <c r="G82" s="33"/>
      <c r="H82" s="33"/>
      <c r="I82" s="33"/>
      <c r="J82" s="33"/>
      <c r="K82" s="33"/>
    </row>
    <row r="83" ht="15.0" customHeight="1">
      <c r="A83" s="40"/>
      <c r="B83" s="16"/>
      <c r="C83" s="16"/>
      <c r="D83" s="16"/>
      <c r="E83" s="16"/>
      <c r="F83" s="41"/>
      <c r="G83" s="16"/>
      <c r="H83" s="16"/>
      <c r="I83" s="16"/>
      <c r="J83" s="16"/>
      <c r="K83" s="16"/>
    </row>
    <row r="84" ht="15.0" customHeight="1">
      <c r="A84" s="32"/>
      <c r="B84" s="33"/>
      <c r="C84" s="33"/>
      <c r="D84" s="33"/>
      <c r="E84" s="33"/>
      <c r="F84" s="34"/>
      <c r="G84" s="33"/>
      <c r="H84" s="33"/>
      <c r="I84" s="33"/>
      <c r="J84" s="33"/>
      <c r="K84" s="33"/>
    </row>
    <row r="85" ht="15.0" customHeight="1">
      <c r="A85" s="40"/>
      <c r="B85" s="16"/>
      <c r="C85" s="16"/>
      <c r="D85" s="16"/>
      <c r="E85" s="16"/>
      <c r="F85" s="41"/>
      <c r="G85" s="16"/>
      <c r="H85" s="16"/>
      <c r="I85" s="16"/>
      <c r="J85" s="16"/>
      <c r="K85" s="16"/>
    </row>
    <row r="86" ht="15.0" customHeight="1">
      <c r="A86" s="32"/>
      <c r="B86" s="33"/>
      <c r="C86" s="33"/>
      <c r="D86" s="33"/>
      <c r="E86" s="33"/>
      <c r="F86" s="34"/>
      <c r="G86" s="33"/>
      <c r="H86" s="33"/>
      <c r="I86" s="33"/>
      <c r="J86" s="33"/>
      <c r="K86" s="33"/>
    </row>
    <row r="87" ht="15.0" customHeight="1">
      <c r="A87" s="40"/>
      <c r="B87" s="16"/>
      <c r="C87" s="16"/>
      <c r="D87" s="16"/>
      <c r="E87" s="16"/>
      <c r="F87" s="41"/>
      <c r="G87" s="16"/>
      <c r="H87" s="16"/>
      <c r="I87" s="16"/>
      <c r="J87" s="16"/>
      <c r="K87" s="16"/>
    </row>
    <row r="88" ht="15.0" customHeight="1">
      <c r="A88" s="32"/>
      <c r="B88" s="33"/>
      <c r="C88" s="33"/>
      <c r="D88" s="33"/>
      <c r="E88" s="33"/>
      <c r="F88" s="34"/>
      <c r="G88" s="33"/>
      <c r="H88" s="33"/>
      <c r="I88" s="33"/>
      <c r="J88" s="33"/>
      <c r="K88" s="33"/>
    </row>
    <row r="89" ht="15.0" customHeight="1">
      <c r="A89" s="40"/>
      <c r="B89" s="16"/>
      <c r="C89" s="16"/>
      <c r="D89" s="16"/>
      <c r="E89" s="16"/>
      <c r="F89" s="41"/>
      <c r="G89" s="16"/>
      <c r="H89" s="16"/>
      <c r="I89" s="16"/>
      <c r="J89" s="16"/>
      <c r="K89" s="16"/>
    </row>
    <row r="90" ht="15.0" customHeight="1">
      <c r="A90" s="32"/>
      <c r="B90" s="33"/>
      <c r="C90" s="33"/>
      <c r="D90" s="33"/>
      <c r="E90" s="33"/>
      <c r="F90" s="34"/>
      <c r="G90" s="33"/>
      <c r="H90" s="33"/>
      <c r="I90" s="33"/>
      <c r="J90" s="33"/>
      <c r="K90" s="33"/>
    </row>
    <row r="91" ht="15.0" customHeight="1">
      <c r="A91" s="40"/>
      <c r="B91" s="16"/>
      <c r="C91" s="16"/>
      <c r="D91" s="16"/>
      <c r="E91" s="16"/>
      <c r="F91" s="41"/>
      <c r="G91" s="16"/>
      <c r="H91" s="16"/>
      <c r="I91" s="16"/>
      <c r="J91" s="16"/>
      <c r="K91" s="16"/>
    </row>
    <row r="92" ht="15.0" customHeight="1">
      <c r="A92" s="32"/>
      <c r="B92" s="33"/>
      <c r="C92" s="33"/>
      <c r="D92" s="33"/>
      <c r="E92" s="33"/>
      <c r="F92" s="34"/>
      <c r="G92" s="33"/>
      <c r="H92" s="33"/>
      <c r="I92" s="33"/>
      <c r="J92" s="33"/>
      <c r="K92" s="33"/>
    </row>
    <row r="93" ht="15.0" customHeight="1">
      <c r="A93" s="40"/>
      <c r="B93" s="16"/>
      <c r="C93" s="16"/>
      <c r="D93" s="16"/>
      <c r="E93" s="16"/>
      <c r="F93" s="41"/>
      <c r="G93" s="16"/>
      <c r="H93" s="16"/>
      <c r="I93" s="16"/>
      <c r="J93" s="16"/>
      <c r="K93" s="16"/>
    </row>
    <row r="94" ht="15.0" customHeight="1">
      <c r="A94" s="32"/>
      <c r="B94" s="33"/>
      <c r="C94" s="33"/>
      <c r="D94" s="33"/>
      <c r="E94" s="33"/>
      <c r="F94" s="34"/>
      <c r="G94" s="33"/>
      <c r="H94" s="33"/>
      <c r="I94" s="33"/>
      <c r="J94" s="33"/>
      <c r="K94" s="33"/>
    </row>
    <row r="95" ht="15.0" customHeight="1">
      <c r="A95" s="40"/>
      <c r="B95" s="16"/>
      <c r="C95" s="16"/>
      <c r="D95" s="16"/>
      <c r="E95" s="16"/>
      <c r="F95" s="41"/>
      <c r="G95" s="16"/>
      <c r="H95" s="16"/>
      <c r="I95" s="16"/>
      <c r="J95" s="16"/>
      <c r="K95" s="16"/>
    </row>
    <row r="96" ht="15.0" customHeight="1">
      <c r="A96" s="32"/>
      <c r="B96" s="33"/>
      <c r="C96" s="33"/>
      <c r="D96" s="33"/>
      <c r="E96" s="33"/>
      <c r="F96" s="34"/>
      <c r="G96" s="33"/>
      <c r="H96" s="33"/>
      <c r="I96" s="33"/>
      <c r="J96" s="33"/>
      <c r="K96" s="33"/>
    </row>
    <row r="97" ht="15.0" customHeight="1">
      <c r="A97" s="40"/>
      <c r="B97" s="16"/>
      <c r="C97" s="16"/>
      <c r="D97" s="16"/>
      <c r="E97" s="16"/>
      <c r="F97" s="41"/>
      <c r="G97" s="16"/>
      <c r="H97" s="16"/>
      <c r="I97" s="16"/>
      <c r="J97" s="16"/>
      <c r="K97" s="16"/>
    </row>
    <row r="98" ht="15.0" customHeight="1">
      <c r="A98" s="32"/>
      <c r="B98" s="33"/>
      <c r="C98" s="33"/>
      <c r="D98" s="33"/>
      <c r="E98" s="33"/>
      <c r="F98" s="34"/>
      <c r="G98" s="33"/>
      <c r="H98" s="33"/>
      <c r="I98" s="33"/>
      <c r="J98" s="33"/>
      <c r="K98" s="33"/>
    </row>
    <row r="99" ht="15.0" customHeight="1">
      <c r="A99" s="40"/>
      <c r="B99" s="16"/>
      <c r="C99" s="16"/>
      <c r="D99" s="16"/>
      <c r="E99" s="16"/>
      <c r="F99" s="41"/>
      <c r="G99" s="16"/>
      <c r="H99" s="16"/>
      <c r="I99" s="16"/>
      <c r="J99" s="16"/>
      <c r="K99" s="16"/>
    </row>
    <row r="100" ht="15.0" customHeight="1">
      <c r="A100" s="32"/>
      <c r="B100" s="33"/>
      <c r="C100" s="33"/>
      <c r="D100" s="33"/>
      <c r="E100" s="33"/>
      <c r="F100" s="34"/>
      <c r="G100" s="33"/>
      <c r="H100" s="33"/>
      <c r="I100" s="33"/>
      <c r="J100" s="33"/>
      <c r="K100" s="33"/>
    </row>
    <row r="101" ht="15.0" customHeight="1">
      <c r="A101" s="40"/>
      <c r="B101" s="16"/>
      <c r="C101" s="16"/>
      <c r="D101" s="16"/>
      <c r="E101" s="16"/>
      <c r="F101" s="41"/>
      <c r="G101" s="16"/>
      <c r="H101" s="16"/>
      <c r="I101" s="16"/>
      <c r="J101" s="16"/>
      <c r="K101" s="16"/>
    </row>
    <row r="102" ht="15.0" customHeight="1">
      <c r="A102" s="32"/>
      <c r="B102" s="33"/>
      <c r="C102" s="33"/>
      <c r="D102" s="33"/>
      <c r="E102" s="33"/>
      <c r="F102" s="34"/>
      <c r="G102" s="33"/>
      <c r="H102" s="33"/>
      <c r="I102" s="33"/>
      <c r="J102" s="33"/>
      <c r="K102" s="33"/>
    </row>
    <row r="103" ht="15.0" customHeight="1">
      <c r="A103" s="40"/>
      <c r="B103" s="16"/>
      <c r="C103" s="16"/>
      <c r="D103" s="16"/>
      <c r="E103" s="16"/>
      <c r="F103" s="41"/>
      <c r="G103" s="16"/>
      <c r="H103" s="16"/>
      <c r="I103" s="16"/>
      <c r="J103" s="16"/>
      <c r="K103" s="16"/>
    </row>
    <row r="104" ht="15.0" customHeight="1">
      <c r="A104" s="32"/>
      <c r="B104" s="33"/>
      <c r="C104" s="33"/>
      <c r="D104" s="33"/>
      <c r="E104" s="33"/>
      <c r="F104" s="34"/>
      <c r="G104" s="33"/>
      <c r="H104" s="33"/>
      <c r="I104" s="33"/>
      <c r="J104" s="33"/>
      <c r="K104" s="33"/>
    </row>
    <row r="105" ht="15.0" customHeight="1">
      <c r="A105" s="40"/>
      <c r="B105" s="16"/>
      <c r="C105" s="16"/>
      <c r="D105" s="16"/>
      <c r="E105" s="16"/>
      <c r="F105" s="41"/>
      <c r="G105" s="16"/>
      <c r="H105" s="16"/>
      <c r="I105" s="16"/>
      <c r="J105" s="16"/>
      <c r="K105" s="16"/>
    </row>
    <row r="106" ht="15.0" customHeight="1">
      <c r="A106" s="32"/>
      <c r="B106" s="33"/>
      <c r="C106" s="33"/>
      <c r="D106" s="33"/>
      <c r="E106" s="33"/>
      <c r="F106" s="34"/>
      <c r="G106" s="33"/>
      <c r="H106" s="33"/>
      <c r="I106" s="33"/>
      <c r="J106" s="33"/>
      <c r="K106" s="33"/>
    </row>
    <row r="107" ht="15.0" customHeight="1">
      <c r="A107" s="40"/>
      <c r="B107" s="16"/>
      <c r="C107" s="16"/>
      <c r="D107" s="16"/>
      <c r="E107" s="16"/>
      <c r="F107" s="41"/>
      <c r="G107" s="16"/>
      <c r="H107" s="16"/>
      <c r="I107" s="16"/>
      <c r="J107" s="16"/>
      <c r="K107" s="16"/>
    </row>
    <row r="108" ht="15.0" customHeight="1">
      <c r="A108" s="32"/>
      <c r="B108" s="33"/>
      <c r="C108" s="33"/>
      <c r="D108" s="33"/>
      <c r="E108" s="33"/>
      <c r="F108" s="34"/>
      <c r="G108" s="33"/>
      <c r="H108" s="33"/>
      <c r="I108" s="33"/>
      <c r="J108" s="33"/>
      <c r="K108" s="33"/>
    </row>
    <row r="109" ht="15.0" customHeight="1">
      <c r="A109" s="40"/>
      <c r="B109" s="16"/>
      <c r="C109" s="16"/>
      <c r="D109" s="16"/>
      <c r="E109" s="16"/>
      <c r="F109" s="41"/>
      <c r="G109" s="16"/>
      <c r="H109" s="16"/>
      <c r="I109" s="16"/>
      <c r="J109" s="16"/>
      <c r="K109" s="16"/>
    </row>
    <row r="110" ht="15.0" customHeight="1">
      <c r="A110" s="32"/>
      <c r="B110" s="33"/>
      <c r="C110" s="33"/>
      <c r="D110" s="33"/>
      <c r="E110" s="33"/>
      <c r="F110" s="34"/>
      <c r="G110" s="33"/>
      <c r="H110" s="33"/>
      <c r="I110" s="33"/>
      <c r="J110" s="33"/>
      <c r="K110" s="33"/>
    </row>
    <row r="111" ht="15.0" customHeight="1">
      <c r="A111" s="40"/>
      <c r="B111" s="16"/>
      <c r="C111" s="16"/>
      <c r="D111" s="16"/>
      <c r="E111" s="16"/>
      <c r="F111" s="41"/>
      <c r="G111" s="16"/>
      <c r="H111" s="16"/>
      <c r="I111" s="16"/>
      <c r="J111" s="16"/>
      <c r="K111" s="16"/>
    </row>
    <row r="112" ht="15.0" customHeight="1">
      <c r="A112" s="32"/>
      <c r="B112" s="33"/>
      <c r="C112" s="33"/>
      <c r="D112" s="33"/>
      <c r="E112" s="33"/>
      <c r="F112" s="34"/>
      <c r="G112" s="33"/>
      <c r="H112" s="33"/>
      <c r="I112" s="33"/>
      <c r="J112" s="33"/>
      <c r="K112" s="33"/>
    </row>
    <row r="113" ht="15.0" customHeight="1">
      <c r="A113" s="40"/>
      <c r="B113" s="16"/>
      <c r="C113" s="16"/>
      <c r="D113" s="16"/>
      <c r="E113" s="16"/>
      <c r="F113" s="41"/>
      <c r="G113" s="16"/>
      <c r="H113" s="16"/>
      <c r="I113" s="16"/>
      <c r="J113" s="16"/>
      <c r="K113" s="16"/>
    </row>
    <row r="114" ht="15.0" customHeight="1">
      <c r="A114" s="32"/>
      <c r="B114" s="33"/>
      <c r="C114" s="33"/>
      <c r="D114" s="33"/>
      <c r="E114" s="33"/>
      <c r="F114" s="34"/>
      <c r="G114" s="33"/>
      <c r="H114" s="33"/>
      <c r="I114" s="33"/>
      <c r="J114" s="33"/>
      <c r="K114" s="33"/>
    </row>
    <row r="115" ht="15.0" customHeight="1">
      <c r="A115" s="40"/>
      <c r="B115" s="16"/>
      <c r="C115" s="16"/>
      <c r="D115" s="16"/>
      <c r="E115" s="16"/>
      <c r="F115" s="41"/>
      <c r="G115" s="16"/>
      <c r="H115" s="16"/>
      <c r="I115" s="16"/>
      <c r="J115" s="16"/>
      <c r="K115" s="16"/>
    </row>
    <row r="116" ht="15.0" customHeight="1">
      <c r="A116" s="32"/>
      <c r="B116" s="33"/>
      <c r="C116" s="33"/>
      <c r="D116" s="33"/>
      <c r="E116" s="33"/>
      <c r="F116" s="34"/>
      <c r="G116" s="33"/>
      <c r="H116" s="33"/>
      <c r="I116" s="33"/>
      <c r="J116" s="33"/>
      <c r="K116" s="33"/>
    </row>
    <row r="117" ht="15.0" customHeight="1">
      <c r="A117" s="40"/>
      <c r="B117" s="16"/>
      <c r="C117" s="16"/>
      <c r="D117" s="16"/>
      <c r="E117" s="16"/>
      <c r="F117" s="41"/>
      <c r="G117" s="16"/>
      <c r="H117" s="16"/>
      <c r="I117" s="16"/>
      <c r="J117" s="16"/>
      <c r="K117" s="16"/>
    </row>
    <row r="118" ht="15.0" customHeight="1">
      <c r="A118" s="32"/>
      <c r="B118" s="33"/>
      <c r="C118" s="33"/>
      <c r="D118" s="33"/>
      <c r="E118" s="33"/>
      <c r="F118" s="34"/>
      <c r="G118" s="33"/>
      <c r="H118" s="33"/>
      <c r="I118" s="33"/>
      <c r="J118" s="33"/>
      <c r="K118" s="33"/>
    </row>
    <row r="119" ht="15.0" customHeight="1">
      <c r="A119" s="40"/>
      <c r="B119" s="16"/>
      <c r="C119" s="16"/>
      <c r="D119" s="16"/>
      <c r="E119" s="16"/>
      <c r="F119" s="41"/>
      <c r="G119" s="16"/>
      <c r="H119" s="16"/>
      <c r="I119" s="16"/>
      <c r="J119" s="16"/>
      <c r="K119" s="16"/>
    </row>
    <row r="120" ht="15.0" customHeight="1">
      <c r="A120" s="32"/>
      <c r="B120" s="33"/>
      <c r="C120" s="33"/>
      <c r="D120" s="33"/>
      <c r="E120" s="33"/>
      <c r="F120" s="34"/>
      <c r="G120" s="33"/>
      <c r="H120" s="33"/>
      <c r="I120" s="33"/>
      <c r="J120" s="33"/>
      <c r="K120" s="33"/>
    </row>
    <row r="121" ht="15.0" customHeight="1">
      <c r="A121" s="40"/>
      <c r="B121" s="16"/>
      <c r="C121" s="16"/>
      <c r="D121" s="16"/>
      <c r="E121" s="16"/>
      <c r="F121" s="41"/>
      <c r="G121" s="16"/>
      <c r="H121" s="16"/>
      <c r="I121" s="16"/>
      <c r="J121" s="16"/>
      <c r="K121" s="16"/>
    </row>
    <row r="122" ht="15.0" customHeight="1">
      <c r="A122" s="32"/>
      <c r="B122" s="33"/>
      <c r="C122" s="33"/>
      <c r="D122" s="33"/>
      <c r="E122" s="33"/>
      <c r="F122" s="34"/>
      <c r="G122" s="33"/>
      <c r="H122" s="33"/>
      <c r="I122" s="33"/>
      <c r="J122" s="33"/>
      <c r="K122" s="33"/>
    </row>
    <row r="123" ht="15.0" customHeight="1">
      <c r="A123" s="40"/>
      <c r="B123" s="16"/>
      <c r="C123" s="16"/>
      <c r="D123" s="16"/>
      <c r="E123" s="16"/>
      <c r="F123" s="41"/>
      <c r="G123" s="16"/>
      <c r="H123" s="16"/>
      <c r="I123" s="16"/>
      <c r="J123" s="16"/>
      <c r="K123" s="16"/>
    </row>
    <row r="124" ht="15.0" customHeight="1">
      <c r="A124" s="32"/>
      <c r="B124" s="33"/>
      <c r="C124" s="33"/>
      <c r="D124" s="33"/>
      <c r="E124" s="33"/>
      <c r="F124" s="34"/>
      <c r="G124" s="33"/>
      <c r="H124" s="33"/>
      <c r="I124" s="33"/>
      <c r="J124" s="33"/>
      <c r="K124" s="33"/>
    </row>
    <row r="125" ht="15.0" customHeight="1">
      <c r="A125" s="40"/>
      <c r="B125" s="16"/>
      <c r="C125" s="16"/>
      <c r="D125" s="16"/>
      <c r="E125" s="16"/>
      <c r="F125" s="41"/>
      <c r="G125" s="16"/>
      <c r="H125" s="16"/>
      <c r="I125" s="16"/>
      <c r="J125" s="16"/>
      <c r="K125" s="16"/>
    </row>
    <row r="126" ht="15.0" customHeight="1">
      <c r="A126" s="32"/>
      <c r="B126" s="33"/>
      <c r="C126" s="33"/>
      <c r="D126" s="33"/>
      <c r="E126" s="33"/>
      <c r="F126" s="34"/>
      <c r="G126" s="33"/>
      <c r="H126" s="33"/>
      <c r="I126" s="33"/>
      <c r="J126" s="33"/>
      <c r="K126" s="33"/>
    </row>
    <row r="127" ht="15.0" customHeight="1">
      <c r="A127" s="40"/>
      <c r="B127" s="16"/>
      <c r="C127" s="16"/>
      <c r="D127" s="16"/>
      <c r="E127" s="16"/>
      <c r="F127" s="41"/>
      <c r="G127" s="16"/>
      <c r="H127" s="16"/>
      <c r="I127" s="16"/>
      <c r="J127" s="16"/>
      <c r="K127" s="16"/>
    </row>
    <row r="128" ht="15.0" customHeight="1">
      <c r="A128" s="32"/>
      <c r="B128" s="33"/>
      <c r="C128" s="33"/>
      <c r="D128" s="33"/>
      <c r="E128" s="33"/>
      <c r="F128" s="34"/>
      <c r="G128" s="33"/>
      <c r="H128" s="33"/>
      <c r="I128" s="33"/>
      <c r="J128" s="33"/>
      <c r="K128" s="33"/>
    </row>
    <row r="129" ht="15.0" customHeight="1">
      <c r="A129" s="40"/>
      <c r="B129" s="16"/>
      <c r="C129" s="16"/>
      <c r="D129" s="16"/>
      <c r="E129" s="16"/>
      <c r="F129" s="41"/>
      <c r="G129" s="16"/>
      <c r="H129" s="16"/>
      <c r="I129" s="16"/>
      <c r="J129" s="16"/>
      <c r="K129" s="16"/>
    </row>
    <row r="130" ht="15.0" customHeight="1">
      <c r="A130" s="32"/>
      <c r="B130" s="33"/>
      <c r="C130" s="33"/>
      <c r="D130" s="33"/>
      <c r="E130" s="33"/>
      <c r="F130" s="34"/>
      <c r="G130" s="33"/>
      <c r="H130" s="33"/>
      <c r="I130" s="33"/>
      <c r="J130" s="33"/>
      <c r="K130" s="33"/>
    </row>
    <row r="131" ht="15.0" customHeight="1">
      <c r="A131" s="40"/>
      <c r="B131" s="16"/>
      <c r="C131" s="16"/>
      <c r="D131" s="16"/>
      <c r="E131" s="16"/>
      <c r="F131" s="41"/>
      <c r="G131" s="16"/>
      <c r="H131" s="16"/>
      <c r="I131" s="16"/>
      <c r="J131" s="16"/>
      <c r="K131" s="16"/>
    </row>
    <row r="132" ht="15.0" customHeight="1">
      <c r="A132" s="32"/>
      <c r="B132" s="33"/>
      <c r="C132" s="33"/>
      <c r="D132" s="33"/>
      <c r="E132" s="33"/>
      <c r="F132" s="34"/>
      <c r="G132" s="33"/>
      <c r="H132" s="33"/>
      <c r="I132" s="33"/>
      <c r="J132" s="33"/>
      <c r="K132" s="33"/>
    </row>
    <row r="133" ht="15.0" customHeight="1">
      <c r="A133" s="40"/>
      <c r="B133" s="16"/>
      <c r="C133" s="16"/>
      <c r="D133" s="16"/>
      <c r="E133" s="16"/>
      <c r="F133" s="41"/>
      <c r="G133" s="16"/>
      <c r="H133" s="16"/>
      <c r="I133" s="16"/>
      <c r="J133" s="16"/>
      <c r="K133" s="16"/>
    </row>
    <row r="134" ht="15.0" customHeight="1">
      <c r="A134" s="32"/>
      <c r="B134" s="33"/>
      <c r="C134" s="33"/>
      <c r="D134" s="33"/>
      <c r="E134" s="33"/>
      <c r="F134" s="34"/>
      <c r="G134" s="33"/>
      <c r="H134" s="33"/>
      <c r="I134" s="33"/>
      <c r="J134" s="33"/>
      <c r="K134" s="33"/>
    </row>
    <row r="135" ht="15.0" customHeight="1">
      <c r="A135" s="40"/>
      <c r="B135" s="16"/>
      <c r="C135" s="16"/>
      <c r="D135" s="16"/>
      <c r="E135" s="16"/>
      <c r="F135" s="41"/>
      <c r="G135" s="16"/>
      <c r="H135" s="16"/>
      <c r="I135" s="16"/>
      <c r="J135" s="16"/>
      <c r="K135" s="16"/>
    </row>
    <row r="136" ht="15.0" customHeight="1">
      <c r="A136" s="32"/>
      <c r="B136" s="33"/>
      <c r="C136" s="33"/>
      <c r="D136" s="33"/>
      <c r="E136" s="33"/>
      <c r="F136" s="34"/>
      <c r="G136" s="33"/>
      <c r="H136" s="33"/>
      <c r="I136" s="33"/>
      <c r="J136" s="33"/>
      <c r="K136" s="33"/>
    </row>
    <row r="137" ht="15.0" customHeight="1">
      <c r="A137" s="40"/>
      <c r="B137" s="16"/>
      <c r="C137" s="16"/>
      <c r="D137" s="16"/>
      <c r="E137" s="16"/>
      <c r="F137" s="41"/>
      <c r="G137" s="16"/>
      <c r="H137" s="16"/>
      <c r="I137" s="16"/>
      <c r="J137" s="16"/>
      <c r="K137" s="16"/>
    </row>
    <row r="138" ht="15.0" customHeight="1">
      <c r="A138" s="32"/>
      <c r="B138" s="33"/>
      <c r="C138" s="33"/>
      <c r="D138" s="33"/>
      <c r="E138" s="33"/>
      <c r="F138" s="34"/>
      <c r="G138" s="33"/>
      <c r="H138" s="33"/>
      <c r="I138" s="33"/>
      <c r="J138" s="33"/>
      <c r="K138" s="33"/>
    </row>
    <row r="139" ht="15.0" customHeight="1">
      <c r="A139" s="40"/>
      <c r="B139" s="16"/>
      <c r="C139" s="16"/>
      <c r="D139" s="16"/>
      <c r="E139" s="16"/>
      <c r="F139" s="41"/>
      <c r="G139" s="16"/>
      <c r="H139" s="16"/>
      <c r="I139" s="16"/>
      <c r="J139" s="16"/>
      <c r="K139" s="16"/>
    </row>
    <row r="140" ht="15.0" customHeight="1">
      <c r="A140" s="32"/>
      <c r="B140" s="33"/>
      <c r="C140" s="33"/>
      <c r="D140" s="33"/>
      <c r="E140" s="33"/>
      <c r="F140" s="34"/>
      <c r="G140" s="33"/>
      <c r="H140" s="33"/>
      <c r="I140" s="33"/>
      <c r="J140" s="33"/>
      <c r="K140" s="33"/>
    </row>
    <row r="141" ht="15.0" customHeight="1">
      <c r="A141" s="40"/>
      <c r="B141" s="16"/>
      <c r="C141" s="16"/>
      <c r="D141" s="16"/>
      <c r="E141" s="16"/>
      <c r="F141" s="41"/>
      <c r="G141" s="16"/>
      <c r="H141" s="16"/>
      <c r="I141" s="16"/>
      <c r="J141" s="16"/>
      <c r="K141" s="16"/>
    </row>
    <row r="142" ht="15.0" customHeight="1">
      <c r="A142" s="32"/>
      <c r="B142" s="33"/>
      <c r="C142" s="33"/>
      <c r="D142" s="33"/>
      <c r="E142" s="33"/>
      <c r="F142" s="34"/>
      <c r="G142" s="33"/>
      <c r="H142" s="33"/>
      <c r="I142" s="33"/>
      <c r="J142" s="33"/>
      <c r="K142" s="33"/>
    </row>
    <row r="143" ht="15.0" customHeight="1">
      <c r="A143" s="40"/>
      <c r="B143" s="16"/>
      <c r="C143" s="16"/>
      <c r="D143" s="16"/>
      <c r="E143" s="16"/>
      <c r="F143" s="41"/>
      <c r="G143" s="16"/>
      <c r="H143" s="16"/>
      <c r="I143" s="16"/>
      <c r="J143" s="16"/>
      <c r="K143" s="16"/>
    </row>
    <row r="144" ht="15.0" customHeight="1">
      <c r="A144" s="32"/>
      <c r="B144" s="33"/>
      <c r="C144" s="33"/>
      <c r="D144" s="33"/>
      <c r="E144" s="33"/>
      <c r="F144" s="34"/>
      <c r="G144" s="33"/>
      <c r="H144" s="33"/>
      <c r="I144" s="33"/>
      <c r="J144" s="33"/>
      <c r="K144" s="33"/>
    </row>
    <row r="145" ht="15.0" customHeight="1">
      <c r="A145" s="40"/>
      <c r="B145" s="16"/>
      <c r="C145" s="16"/>
      <c r="D145" s="16"/>
      <c r="E145" s="16"/>
      <c r="F145" s="41"/>
      <c r="G145" s="16"/>
      <c r="H145" s="16"/>
      <c r="I145" s="16"/>
      <c r="J145" s="16"/>
      <c r="K145" s="16"/>
    </row>
    <row r="146" ht="15.0" customHeight="1">
      <c r="A146" s="32"/>
      <c r="B146" s="33"/>
      <c r="C146" s="33"/>
      <c r="D146" s="33"/>
      <c r="E146" s="33"/>
      <c r="F146" s="34"/>
      <c r="G146" s="33"/>
      <c r="H146" s="33"/>
      <c r="I146" s="33"/>
      <c r="J146" s="33"/>
      <c r="K146" s="33"/>
    </row>
    <row r="147" ht="15.0" customHeight="1">
      <c r="A147" s="40"/>
      <c r="B147" s="16"/>
      <c r="C147" s="16"/>
      <c r="D147" s="16"/>
      <c r="E147" s="16"/>
      <c r="F147" s="41"/>
      <c r="G147" s="16"/>
      <c r="H147" s="16"/>
      <c r="I147" s="16"/>
      <c r="J147" s="16"/>
      <c r="K147" s="16"/>
    </row>
    <row r="148" ht="15.0" customHeight="1">
      <c r="A148" s="32"/>
      <c r="B148" s="33"/>
      <c r="C148" s="33"/>
      <c r="D148" s="33"/>
      <c r="E148" s="33"/>
      <c r="F148" s="34"/>
      <c r="G148" s="33"/>
      <c r="H148" s="33"/>
      <c r="I148" s="33"/>
      <c r="J148" s="33"/>
      <c r="K148" s="33"/>
    </row>
    <row r="149" ht="15.0" customHeight="1">
      <c r="A149" s="40"/>
      <c r="B149" s="16"/>
      <c r="C149" s="16"/>
      <c r="D149" s="16"/>
      <c r="E149" s="16"/>
      <c r="F149" s="41"/>
      <c r="G149" s="16"/>
      <c r="H149" s="16"/>
      <c r="I149" s="16"/>
      <c r="J149" s="16"/>
      <c r="K149" s="16"/>
    </row>
    <row r="150" ht="15.0" customHeight="1">
      <c r="A150" s="32"/>
      <c r="B150" s="33"/>
      <c r="C150" s="33"/>
      <c r="D150" s="33"/>
      <c r="E150" s="33"/>
      <c r="F150" s="34"/>
      <c r="G150" s="33"/>
      <c r="H150" s="33"/>
      <c r="I150" s="33"/>
      <c r="J150" s="33"/>
      <c r="K150" s="33"/>
    </row>
    <row r="151" ht="15.0" customHeight="1">
      <c r="A151" s="40"/>
      <c r="B151" s="16"/>
      <c r="C151" s="16"/>
      <c r="D151" s="16"/>
      <c r="E151" s="16"/>
      <c r="F151" s="41"/>
      <c r="G151" s="16"/>
      <c r="H151" s="16"/>
      <c r="I151" s="16"/>
      <c r="J151" s="16"/>
      <c r="K151" s="16"/>
    </row>
    <row r="152" ht="15.0" customHeight="1">
      <c r="A152" s="32"/>
      <c r="B152" s="33"/>
      <c r="C152" s="33"/>
      <c r="D152" s="33"/>
      <c r="E152" s="33"/>
      <c r="F152" s="34"/>
      <c r="G152" s="33"/>
      <c r="H152" s="33"/>
      <c r="I152" s="33"/>
      <c r="J152" s="33"/>
      <c r="K152" s="33"/>
    </row>
    <row r="153" ht="15.0" customHeight="1">
      <c r="A153" s="40"/>
      <c r="B153" s="16"/>
      <c r="C153" s="16"/>
      <c r="D153" s="16"/>
      <c r="E153" s="16"/>
      <c r="F153" s="41"/>
      <c r="G153" s="16"/>
      <c r="H153" s="16"/>
      <c r="I153" s="16"/>
      <c r="J153" s="16"/>
      <c r="K153" s="16"/>
    </row>
    <row r="154" ht="15.0" customHeight="1">
      <c r="A154" s="32"/>
      <c r="B154" s="33"/>
      <c r="C154" s="33"/>
      <c r="D154" s="33"/>
      <c r="E154" s="33"/>
      <c r="F154" s="34"/>
      <c r="G154" s="33"/>
      <c r="H154" s="33"/>
      <c r="I154" s="33"/>
      <c r="J154" s="33"/>
      <c r="K154" s="33"/>
    </row>
    <row r="155" ht="15.0" customHeight="1">
      <c r="A155" s="40"/>
      <c r="B155" s="16"/>
      <c r="C155" s="16"/>
      <c r="D155" s="16"/>
      <c r="E155" s="16"/>
      <c r="F155" s="41"/>
      <c r="G155" s="16"/>
      <c r="H155" s="16"/>
      <c r="I155" s="16"/>
      <c r="J155" s="16"/>
      <c r="K155" s="16"/>
    </row>
    <row r="156" ht="15.0" customHeight="1">
      <c r="A156" s="32"/>
      <c r="B156" s="33"/>
      <c r="C156" s="33"/>
      <c r="D156" s="33"/>
      <c r="E156" s="33"/>
      <c r="F156" s="34"/>
      <c r="G156" s="33"/>
      <c r="H156" s="33"/>
      <c r="I156" s="33"/>
      <c r="J156" s="33"/>
      <c r="K156" s="33"/>
    </row>
    <row r="157" ht="15.0" customHeight="1">
      <c r="A157" s="40"/>
      <c r="B157" s="16"/>
      <c r="C157" s="16"/>
      <c r="D157" s="16"/>
      <c r="E157" s="16"/>
      <c r="F157" s="41"/>
      <c r="G157" s="16"/>
      <c r="H157" s="16"/>
      <c r="I157" s="16"/>
      <c r="J157" s="16"/>
      <c r="K157" s="16"/>
    </row>
    <row r="158" ht="15.0" customHeight="1">
      <c r="A158" s="32"/>
      <c r="B158" s="33"/>
      <c r="C158" s="33"/>
      <c r="D158" s="33"/>
      <c r="E158" s="33"/>
      <c r="F158" s="34"/>
      <c r="G158" s="33"/>
      <c r="H158" s="33"/>
      <c r="I158" s="33"/>
      <c r="J158" s="33"/>
      <c r="K158" s="33"/>
    </row>
    <row r="159" ht="15.0" customHeight="1">
      <c r="A159" s="40"/>
      <c r="B159" s="16"/>
      <c r="C159" s="16"/>
      <c r="D159" s="16"/>
      <c r="E159" s="16"/>
      <c r="F159" s="41"/>
      <c r="G159" s="16"/>
      <c r="H159" s="16"/>
      <c r="I159" s="16"/>
      <c r="J159" s="16"/>
      <c r="K159" s="16"/>
    </row>
    <row r="160" ht="15.0" customHeight="1">
      <c r="A160" s="32"/>
      <c r="B160" s="33"/>
      <c r="C160" s="33"/>
      <c r="D160" s="33"/>
      <c r="E160" s="33"/>
      <c r="F160" s="34"/>
      <c r="G160" s="33"/>
      <c r="H160" s="33"/>
      <c r="I160" s="33"/>
      <c r="J160" s="33"/>
      <c r="K160" s="33"/>
    </row>
    <row r="161" ht="15.0" customHeight="1">
      <c r="A161" s="40"/>
      <c r="B161" s="16"/>
      <c r="C161" s="16"/>
      <c r="D161" s="16"/>
      <c r="E161" s="16"/>
      <c r="F161" s="41"/>
      <c r="G161" s="16"/>
      <c r="H161" s="16"/>
      <c r="I161" s="16"/>
      <c r="J161" s="16"/>
      <c r="K161" s="16"/>
    </row>
    <row r="162" ht="15.0" customHeight="1">
      <c r="A162" s="32"/>
      <c r="B162" s="33"/>
      <c r="C162" s="33"/>
      <c r="D162" s="33"/>
      <c r="E162" s="33"/>
      <c r="F162" s="34"/>
      <c r="G162" s="33"/>
      <c r="H162" s="33"/>
      <c r="I162" s="33"/>
      <c r="J162" s="33"/>
      <c r="K162" s="33"/>
    </row>
    <row r="163" ht="15.0" customHeight="1">
      <c r="A163" s="40"/>
      <c r="B163" s="16"/>
      <c r="C163" s="16"/>
      <c r="D163" s="16"/>
      <c r="E163" s="16"/>
      <c r="F163" s="41"/>
      <c r="G163" s="16"/>
      <c r="H163" s="16"/>
      <c r="I163" s="16"/>
      <c r="J163" s="16"/>
      <c r="K163" s="16"/>
    </row>
    <row r="164" ht="15.0" customHeight="1">
      <c r="A164" s="32"/>
      <c r="B164" s="33"/>
      <c r="C164" s="33"/>
      <c r="D164" s="33"/>
      <c r="E164" s="33"/>
      <c r="F164" s="34"/>
      <c r="G164" s="33"/>
      <c r="H164" s="33"/>
      <c r="I164" s="33"/>
      <c r="J164" s="33"/>
      <c r="K164" s="33"/>
    </row>
    <row r="165" ht="15.0" customHeight="1">
      <c r="A165" s="40"/>
      <c r="B165" s="16"/>
      <c r="C165" s="16"/>
      <c r="D165" s="16"/>
      <c r="E165" s="16"/>
      <c r="F165" s="41"/>
      <c r="G165" s="16"/>
      <c r="H165" s="16"/>
      <c r="I165" s="16"/>
      <c r="J165" s="16"/>
      <c r="K165" s="16"/>
    </row>
    <row r="166" ht="15.0" customHeight="1">
      <c r="A166" s="32"/>
      <c r="B166" s="33"/>
      <c r="C166" s="33"/>
      <c r="D166" s="33"/>
      <c r="E166" s="33"/>
      <c r="F166" s="34"/>
      <c r="G166" s="33"/>
      <c r="H166" s="33"/>
      <c r="I166" s="33"/>
      <c r="J166" s="33"/>
      <c r="K166" s="33"/>
    </row>
    <row r="167" ht="15.0" customHeight="1">
      <c r="A167" s="40"/>
      <c r="B167" s="16"/>
      <c r="C167" s="16"/>
      <c r="D167" s="16"/>
      <c r="E167" s="16"/>
      <c r="F167" s="41"/>
      <c r="G167" s="16"/>
      <c r="H167" s="16"/>
      <c r="I167" s="16"/>
      <c r="J167" s="16"/>
      <c r="K167" s="16"/>
    </row>
    <row r="168" ht="15.0" customHeight="1">
      <c r="A168" s="32"/>
      <c r="B168" s="33"/>
      <c r="C168" s="33"/>
      <c r="D168" s="33"/>
      <c r="E168" s="33"/>
      <c r="F168" s="34"/>
      <c r="G168" s="33"/>
      <c r="H168" s="33"/>
      <c r="I168" s="33"/>
      <c r="J168" s="33"/>
      <c r="K168" s="33"/>
    </row>
    <row r="169" ht="15.0" customHeight="1">
      <c r="A169" s="40"/>
      <c r="B169" s="16"/>
      <c r="C169" s="16"/>
      <c r="D169" s="16"/>
      <c r="E169" s="16"/>
      <c r="F169" s="41"/>
      <c r="G169" s="16"/>
      <c r="H169" s="16"/>
      <c r="I169" s="16"/>
      <c r="J169" s="16"/>
      <c r="K169" s="16"/>
    </row>
    <row r="170" ht="15.0" customHeight="1">
      <c r="A170" s="32"/>
      <c r="B170" s="33"/>
      <c r="C170" s="33"/>
      <c r="D170" s="33"/>
      <c r="E170" s="33"/>
      <c r="F170" s="34"/>
      <c r="G170" s="33"/>
      <c r="H170" s="33"/>
      <c r="I170" s="33"/>
      <c r="J170" s="33"/>
      <c r="K170" s="33"/>
    </row>
    <row r="171" ht="15.0" customHeight="1">
      <c r="A171" s="40"/>
      <c r="B171" s="16"/>
      <c r="C171" s="16"/>
      <c r="D171" s="16"/>
      <c r="E171" s="16"/>
      <c r="F171" s="41"/>
      <c r="G171" s="16"/>
      <c r="H171" s="16"/>
      <c r="I171" s="16"/>
      <c r="J171" s="16"/>
      <c r="K171" s="16"/>
    </row>
    <row r="172" ht="15.0" customHeight="1">
      <c r="A172" s="32"/>
      <c r="B172" s="33"/>
      <c r="C172" s="33"/>
      <c r="D172" s="33"/>
      <c r="E172" s="33"/>
      <c r="F172" s="34"/>
      <c r="G172" s="33"/>
      <c r="H172" s="33"/>
      <c r="I172" s="33"/>
      <c r="J172" s="33"/>
      <c r="K172" s="33"/>
    </row>
    <row r="173" ht="15.0" customHeight="1">
      <c r="A173" s="40"/>
      <c r="B173" s="16"/>
      <c r="C173" s="16"/>
      <c r="D173" s="16"/>
      <c r="E173" s="16"/>
      <c r="F173" s="41"/>
      <c r="G173" s="16"/>
      <c r="H173" s="16"/>
      <c r="I173" s="16"/>
      <c r="J173" s="16"/>
      <c r="K173" s="16"/>
    </row>
    <row r="174" ht="15.0" customHeight="1">
      <c r="A174" s="32"/>
      <c r="B174" s="33"/>
      <c r="C174" s="33"/>
      <c r="D174" s="33"/>
      <c r="E174" s="33"/>
      <c r="F174" s="34"/>
      <c r="G174" s="33"/>
      <c r="H174" s="33"/>
      <c r="I174" s="33"/>
      <c r="J174" s="33"/>
      <c r="K174" s="33"/>
    </row>
    <row r="175" ht="15.0" customHeight="1">
      <c r="A175" s="40"/>
      <c r="B175" s="16"/>
      <c r="C175" s="16"/>
      <c r="D175" s="16"/>
      <c r="E175" s="16"/>
      <c r="F175" s="41"/>
      <c r="G175" s="16"/>
      <c r="H175" s="16"/>
      <c r="I175" s="16"/>
      <c r="J175" s="16"/>
      <c r="K175" s="16"/>
    </row>
    <row r="176" ht="15.0" customHeight="1">
      <c r="A176" s="32"/>
      <c r="B176" s="33"/>
      <c r="C176" s="33"/>
      <c r="D176" s="33"/>
      <c r="E176" s="33"/>
      <c r="F176" s="34"/>
      <c r="G176" s="33"/>
      <c r="H176" s="33"/>
      <c r="I176" s="33"/>
      <c r="J176" s="33"/>
      <c r="K176" s="33"/>
    </row>
    <row r="177" ht="15.0" customHeight="1">
      <c r="A177" s="40"/>
      <c r="B177" s="16"/>
      <c r="C177" s="16"/>
      <c r="D177" s="16"/>
      <c r="E177" s="16"/>
      <c r="F177" s="41"/>
      <c r="G177" s="16"/>
      <c r="H177" s="16"/>
      <c r="I177" s="16"/>
      <c r="J177" s="16"/>
      <c r="K177" s="16"/>
    </row>
    <row r="178" ht="15.0" customHeight="1">
      <c r="A178" s="32"/>
      <c r="B178" s="33"/>
      <c r="C178" s="33"/>
      <c r="D178" s="33"/>
      <c r="E178" s="33"/>
      <c r="F178" s="34"/>
      <c r="G178" s="33"/>
      <c r="H178" s="33"/>
      <c r="I178" s="33"/>
      <c r="J178" s="33"/>
      <c r="K178" s="33"/>
    </row>
    <row r="179" ht="15.0" customHeight="1">
      <c r="A179" s="40"/>
      <c r="B179" s="16"/>
      <c r="C179" s="16"/>
      <c r="D179" s="16"/>
      <c r="E179" s="16"/>
      <c r="F179" s="41"/>
      <c r="G179" s="16"/>
      <c r="H179" s="16"/>
      <c r="I179" s="16"/>
      <c r="J179" s="16"/>
      <c r="K179" s="16"/>
    </row>
    <row r="180" ht="15.0" customHeight="1">
      <c r="A180" s="32"/>
      <c r="B180" s="33"/>
      <c r="C180" s="33"/>
      <c r="D180" s="33"/>
      <c r="E180" s="33"/>
      <c r="F180" s="34"/>
      <c r="G180" s="33"/>
      <c r="H180" s="33"/>
      <c r="I180" s="33"/>
      <c r="J180" s="33"/>
      <c r="K180" s="33"/>
    </row>
    <row r="181" ht="15.0" customHeight="1">
      <c r="A181" s="40"/>
      <c r="B181" s="16"/>
      <c r="C181" s="16"/>
      <c r="D181" s="16"/>
      <c r="E181" s="16"/>
      <c r="F181" s="41"/>
      <c r="G181" s="16"/>
      <c r="H181" s="16"/>
      <c r="I181" s="16"/>
      <c r="J181" s="16"/>
      <c r="K181" s="16"/>
    </row>
    <row r="182" ht="15.0" customHeight="1">
      <c r="A182" s="32"/>
      <c r="B182" s="33"/>
      <c r="C182" s="33"/>
      <c r="D182" s="33"/>
      <c r="E182" s="33"/>
      <c r="F182" s="34"/>
      <c r="G182" s="33"/>
      <c r="H182" s="33"/>
      <c r="I182" s="33"/>
      <c r="J182" s="33"/>
      <c r="K182" s="33"/>
    </row>
    <row r="183" ht="15.0" customHeight="1">
      <c r="A183" s="40"/>
      <c r="B183" s="16"/>
      <c r="C183" s="16"/>
      <c r="D183" s="16"/>
      <c r="E183" s="16"/>
      <c r="F183" s="41"/>
      <c r="G183" s="16"/>
      <c r="H183" s="16"/>
      <c r="I183" s="16"/>
      <c r="J183" s="16"/>
      <c r="K183" s="16"/>
    </row>
    <row r="184" ht="15.0" customHeight="1">
      <c r="A184" s="32"/>
      <c r="B184" s="33"/>
      <c r="C184" s="33"/>
      <c r="D184" s="33"/>
      <c r="E184" s="33"/>
      <c r="F184" s="34"/>
      <c r="G184" s="33"/>
      <c r="H184" s="33"/>
      <c r="I184" s="33"/>
      <c r="J184" s="33"/>
      <c r="K184" s="33"/>
    </row>
    <row r="185" ht="15.0" customHeight="1">
      <c r="A185" s="40"/>
      <c r="B185" s="16"/>
      <c r="C185" s="16"/>
      <c r="D185" s="16"/>
      <c r="E185" s="16"/>
      <c r="F185" s="41"/>
      <c r="G185" s="16"/>
      <c r="H185" s="16"/>
      <c r="I185" s="16"/>
      <c r="J185" s="16"/>
      <c r="K185" s="16"/>
    </row>
    <row r="186" ht="15.0" customHeight="1">
      <c r="A186" s="32"/>
      <c r="B186" s="33"/>
      <c r="C186" s="33"/>
      <c r="D186" s="33"/>
      <c r="E186" s="33"/>
      <c r="F186" s="34"/>
      <c r="G186" s="33"/>
      <c r="H186" s="33"/>
      <c r="I186" s="33"/>
      <c r="J186" s="33"/>
      <c r="K186" s="33"/>
    </row>
    <row r="187" ht="15.0" customHeight="1">
      <c r="A187" s="40"/>
      <c r="B187" s="16"/>
      <c r="C187" s="16"/>
      <c r="D187" s="16"/>
      <c r="E187" s="16"/>
      <c r="F187" s="41"/>
      <c r="G187" s="16"/>
      <c r="H187" s="16"/>
      <c r="I187" s="16"/>
      <c r="J187" s="16"/>
      <c r="K187" s="16"/>
    </row>
    <row r="188" ht="15.0" customHeight="1">
      <c r="A188" s="32"/>
      <c r="B188" s="33"/>
      <c r="C188" s="33"/>
      <c r="D188" s="33"/>
      <c r="E188" s="33"/>
      <c r="F188" s="34"/>
      <c r="G188" s="33"/>
      <c r="H188" s="33"/>
      <c r="I188" s="33"/>
      <c r="J188" s="33"/>
      <c r="K188" s="33"/>
    </row>
    <row r="189" ht="15.0" customHeight="1">
      <c r="A189" s="40"/>
      <c r="B189" s="16"/>
      <c r="C189" s="16"/>
      <c r="D189" s="16"/>
      <c r="E189" s="16"/>
      <c r="F189" s="41"/>
      <c r="G189" s="16"/>
      <c r="H189" s="16"/>
      <c r="I189" s="16"/>
      <c r="J189" s="16"/>
      <c r="K189" s="16"/>
    </row>
    <row r="190" ht="15.0" customHeight="1">
      <c r="A190" s="32"/>
      <c r="B190" s="33"/>
      <c r="C190" s="33"/>
      <c r="D190" s="33"/>
      <c r="E190" s="33"/>
      <c r="F190" s="34"/>
      <c r="G190" s="33"/>
      <c r="H190" s="33"/>
      <c r="I190" s="33"/>
      <c r="J190" s="33"/>
      <c r="K190" s="33"/>
    </row>
    <row r="191" ht="15.0" customHeight="1">
      <c r="A191" s="40"/>
      <c r="B191" s="16"/>
      <c r="C191" s="16"/>
      <c r="D191" s="16"/>
      <c r="E191" s="16"/>
      <c r="F191" s="41"/>
      <c r="G191" s="16"/>
      <c r="H191" s="16"/>
      <c r="I191" s="16"/>
      <c r="J191" s="16"/>
      <c r="K191" s="16"/>
    </row>
    <row r="192" ht="15.0" customHeight="1">
      <c r="A192" s="32"/>
      <c r="B192" s="33"/>
      <c r="C192" s="33"/>
      <c r="D192" s="33"/>
      <c r="E192" s="33"/>
      <c r="F192" s="34"/>
      <c r="G192" s="33"/>
      <c r="H192" s="33"/>
      <c r="I192" s="33"/>
      <c r="J192" s="33"/>
      <c r="K192" s="33"/>
    </row>
    <row r="193" ht="15.0" customHeight="1">
      <c r="A193" s="40"/>
      <c r="B193" s="16"/>
      <c r="C193" s="16"/>
      <c r="D193" s="16"/>
      <c r="E193" s="16"/>
      <c r="F193" s="41"/>
      <c r="G193" s="16"/>
      <c r="H193" s="16"/>
      <c r="I193" s="16"/>
      <c r="J193" s="16"/>
      <c r="K193" s="16"/>
    </row>
    <row r="194" ht="15.0" customHeight="1">
      <c r="A194" s="32"/>
      <c r="B194" s="33"/>
      <c r="C194" s="33"/>
      <c r="D194" s="33"/>
      <c r="E194" s="33"/>
      <c r="F194" s="34"/>
      <c r="G194" s="33"/>
      <c r="H194" s="33"/>
      <c r="I194" s="33"/>
      <c r="J194" s="33"/>
      <c r="K194" s="33"/>
    </row>
    <row r="195" ht="15.0" customHeight="1">
      <c r="A195" s="40"/>
      <c r="B195" s="16"/>
      <c r="C195" s="16"/>
      <c r="D195" s="16"/>
      <c r="E195" s="16"/>
      <c r="F195" s="41"/>
      <c r="G195" s="16"/>
      <c r="H195" s="16"/>
      <c r="I195" s="16"/>
      <c r="J195" s="16"/>
      <c r="K195" s="16"/>
    </row>
    <row r="196" ht="15.0" customHeight="1">
      <c r="A196" s="32"/>
      <c r="B196" s="33"/>
      <c r="C196" s="33"/>
      <c r="D196" s="33"/>
      <c r="E196" s="33"/>
      <c r="F196" s="34"/>
      <c r="G196" s="33"/>
      <c r="H196" s="33"/>
      <c r="I196" s="33"/>
      <c r="J196" s="33"/>
      <c r="K196" s="33"/>
    </row>
    <row r="197" ht="15.0" customHeight="1">
      <c r="A197" s="40"/>
      <c r="B197" s="16"/>
      <c r="C197" s="16"/>
      <c r="D197" s="16"/>
      <c r="E197" s="16"/>
      <c r="F197" s="41"/>
      <c r="G197" s="16"/>
      <c r="H197" s="16"/>
      <c r="I197" s="16"/>
      <c r="J197" s="16"/>
      <c r="K197" s="16"/>
    </row>
    <row r="198" ht="15.0" customHeight="1">
      <c r="A198" s="32"/>
      <c r="B198" s="33"/>
      <c r="C198" s="33"/>
      <c r="D198" s="33"/>
      <c r="E198" s="33"/>
      <c r="F198" s="34"/>
      <c r="G198" s="33"/>
      <c r="H198" s="33"/>
      <c r="I198" s="33"/>
      <c r="J198" s="33"/>
      <c r="K198" s="33"/>
    </row>
    <row r="199" ht="15.0" customHeight="1">
      <c r="A199" s="40"/>
      <c r="B199" s="16"/>
      <c r="C199" s="16"/>
      <c r="D199" s="16"/>
      <c r="E199" s="16"/>
      <c r="F199" s="41"/>
      <c r="G199" s="16"/>
      <c r="H199" s="16"/>
      <c r="I199" s="16"/>
      <c r="J199" s="16"/>
      <c r="K199" s="16"/>
    </row>
    <row r="200" ht="15.0" customHeight="1">
      <c r="A200" s="32"/>
      <c r="B200" s="33"/>
      <c r="C200" s="33"/>
      <c r="D200" s="33"/>
      <c r="E200" s="33"/>
      <c r="F200" s="34"/>
      <c r="G200" s="33"/>
      <c r="H200" s="33"/>
      <c r="I200" s="33"/>
      <c r="J200" s="33"/>
      <c r="K200" s="33"/>
    </row>
    <row r="201" ht="15.0" customHeight="1">
      <c r="A201" s="40"/>
      <c r="B201" s="16"/>
      <c r="C201" s="16"/>
      <c r="D201" s="16"/>
      <c r="E201" s="16"/>
      <c r="F201" s="41"/>
      <c r="G201" s="16"/>
      <c r="H201" s="16"/>
      <c r="I201" s="16"/>
      <c r="J201" s="16"/>
      <c r="K201" s="16"/>
    </row>
    <row r="202" ht="15.0" customHeight="1">
      <c r="A202" s="32"/>
      <c r="B202" s="33"/>
      <c r="C202" s="33"/>
      <c r="D202" s="33"/>
      <c r="E202" s="33"/>
      <c r="F202" s="34"/>
      <c r="G202" s="33"/>
      <c r="H202" s="33"/>
      <c r="I202" s="33"/>
      <c r="J202" s="33"/>
      <c r="K202" s="33"/>
    </row>
    <row r="203" ht="15.0" customHeight="1">
      <c r="A203" s="40"/>
      <c r="B203" s="16"/>
      <c r="C203" s="16"/>
      <c r="D203" s="16"/>
      <c r="E203" s="16"/>
      <c r="F203" s="41"/>
      <c r="G203" s="16"/>
      <c r="H203" s="16"/>
      <c r="I203" s="16"/>
      <c r="J203" s="16"/>
      <c r="K203" s="16"/>
    </row>
    <row r="204" ht="15.0" customHeight="1">
      <c r="A204" s="32"/>
      <c r="B204" s="33"/>
      <c r="C204" s="33"/>
      <c r="D204" s="33"/>
      <c r="E204" s="33"/>
      <c r="F204" s="34"/>
      <c r="G204" s="33"/>
      <c r="H204" s="33"/>
      <c r="I204" s="33"/>
      <c r="J204" s="33"/>
      <c r="K204" s="33"/>
    </row>
    <row r="205" ht="15.0" customHeight="1">
      <c r="A205" s="40"/>
      <c r="B205" s="16"/>
      <c r="C205" s="16"/>
      <c r="D205" s="16"/>
      <c r="E205" s="16"/>
      <c r="F205" s="41"/>
      <c r="G205" s="16"/>
      <c r="H205" s="16"/>
      <c r="I205" s="16"/>
      <c r="J205" s="16"/>
      <c r="K205" s="16"/>
    </row>
    <row r="206" ht="15.0" customHeight="1">
      <c r="A206" s="32"/>
      <c r="B206" s="33"/>
      <c r="C206" s="33"/>
      <c r="D206" s="33"/>
      <c r="E206" s="33"/>
      <c r="F206" s="34"/>
      <c r="G206" s="33"/>
      <c r="H206" s="33"/>
      <c r="I206" s="33"/>
      <c r="J206" s="33"/>
      <c r="K206" s="33"/>
    </row>
    <row r="207" ht="15.0" customHeight="1">
      <c r="A207" s="40"/>
      <c r="B207" s="16"/>
      <c r="C207" s="16"/>
      <c r="D207" s="16"/>
      <c r="E207" s="16"/>
      <c r="F207" s="41"/>
      <c r="G207" s="16"/>
      <c r="H207" s="16"/>
      <c r="I207" s="16"/>
      <c r="J207" s="16"/>
      <c r="K207" s="16"/>
    </row>
    <row r="208" ht="15.0" customHeight="1">
      <c r="A208" s="32"/>
      <c r="B208" s="33"/>
      <c r="C208" s="33"/>
      <c r="D208" s="33"/>
      <c r="E208" s="33"/>
      <c r="F208" s="34"/>
      <c r="G208" s="33"/>
      <c r="H208" s="33"/>
      <c r="I208" s="33"/>
      <c r="J208" s="33"/>
      <c r="K208" s="33"/>
    </row>
    <row r="209" ht="15.0" customHeight="1">
      <c r="A209" s="40"/>
      <c r="B209" s="16"/>
      <c r="C209" s="16"/>
      <c r="D209" s="16"/>
      <c r="E209" s="16"/>
      <c r="F209" s="41"/>
      <c r="G209" s="16"/>
      <c r="H209" s="16"/>
      <c r="I209" s="16"/>
      <c r="J209" s="16"/>
      <c r="K209" s="16"/>
    </row>
    <row r="210" ht="15.0" customHeight="1">
      <c r="A210" s="32"/>
      <c r="B210" s="33"/>
      <c r="C210" s="33"/>
      <c r="D210" s="33"/>
      <c r="E210" s="33"/>
      <c r="F210" s="34"/>
      <c r="G210" s="33"/>
      <c r="H210" s="33"/>
      <c r="I210" s="33"/>
      <c r="J210" s="33"/>
      <c r="K210" s="33"/>
    </row>
    <row r="211" ht="15.0" customHeight="1">
      <c r="A211" s="40"/>
      <c r="B211" s="16"/>
      <c r="C211" s="16"/>
      <c r="D211" s="16"/>
      <c r="E211" s="16"/>
      <c r="F211" s="41"/>
      <c r="G211" s="16"/>
      <c r="H211" s="16"/>
      <c r="I211" s="16"/>
      <c r="J211" s="16"/>
      <c r="K211" s="16"/>
    </row>
    <row r="212" ht="15.0" customHeight="1">
      <c r="A212" s="32"/>
      <c r="B212" s="33"/>
      <c r="C212" s="33"/>
      <c r="D212" s="33"/>
      <c r="E212" s="33"/>
      <c r="F212" s="34"/>
      <c r="G212" s="33"/>
      <c r="H212" s="33"/>
      <c r="I212" s="33"/>
      <c r="J212" s="33"/>
      <c r="K212" s="33"/>
    </row>
    <row r="213" ht="15.0" customHeight="1">
      <c r="A213" s="40"/>
      <c r="B213" s="16"/>
      <c r="C213" s="16"/>
      <c r="D213" s="16"/>
      <c r="E213" s="16"/>
      <c r="F213" s="41"/>
      <c r="G213" s="16"/>
      <c r="H213" s="16"/>
      <c r="I213" s="16"/>
      <c r="J213" s="16"/>
      <c r="K213" s="16"/>
    </row>
    <row r="214" ht="15.0" customHeight="1">
      <c r="A214" s="32"/>
      <c r="B214" s="33"/>
      <c r="C214" s="33"/>
      <c r="D214" s="33"/>
      <c r="E214" s="33"/>
      <c r="F214" s="34"/>
      <c r="G214" s="33"/>
      <c r="H214" s="33"/>
      <c r="I214" s="33"/>
      <c r="J214" s="33"/>
      <c r="K214" s="33"/>
    </row>
    <row r="215" ht="15.0" customHeight="1">
      <c r="A215" s="40"/>
      <c r="B215" s="16"/>
      <c r="C215" s="16"/>
      <c r="D215" s="16"/>
      <c r="E215" s="16"/>
      <c r="F215" s="41"/>
      <c r="G215" s="16"/>
      <c r="H215" s="16"/>
      <c r="I215" s="16"/>
      <c r="J215" s="16"/>
      <c r="K215" s="16"/>
    </row>
    <row r="216" ht="15.0" customHeight="1">
      <c r="A216" s="32"/>
      <c r="B216" s="33"/>
      <c r="C216" s="33"/>
      <c r="D216" s="33"/>
      <c r="E216" s="33"/>
      <c r="F216" s="34"/>
      <c r="G216" s="33"/>
      <c r="H216" s="33"/>
      <c r="I216" s="33"/>
      <c r="J216" s="33"/>
      <c r="K216" s="33"/>
    </row>
    <row r="217" ht="15.0" customHeight="1">
      <c r="A217" s="40"/>
      <c r="B217" s="16"/>
      <c r="C217" s="16"/>
      <c r="D217" s="16"/>
      <c r="E217" s="16"/>
      <c r="F217" s="41"/>
      <c r="G217" s="16"/>
      <c r="H217" s="16"/>
      <c r="I217" s="16"/>
      <c r="J217" s="16"/>
      <c r="K217" s="16"/>
    </row>
    <row r="218" ht="15.0" customHeight="1">
      <c r="A218" s="32"/>
      <c r="B218" s="33"/>
      <c r="C218" s="33"/>
      <c r="D218" s="33"/>
      <c r="E218" s="33"/>
      <c r="F218" s="34"/>
      <c r="G218" s="33"/>
      <c r="H218" s="33"/>
      <c r="I218" s="33"/>
      <c r="J218" s="33"/>
      <c r="K218" s="33"/>
    </row>
    <row r="219" ht="15.0" customHeight="1">
      <c r="A219" s="40"/>
      <c r="B219" s="16"/>
      <c r="C219" s="16"/>
      <c r="D219" s="16"/>
      <c r="E219" s="16"/>
      <c r="F219" s="41"/>
      <c r="G219" s="16"/>
      <c r="H219" s="16"/>
      <c r="I219" s="16"/>
      <c r="J219" s="16"/>
      <c r="K219" s="16"/>
    </row>
    <row r="220" ht="15.0" customHeight="1">
      <c r="A220" s="32"/>
      <c r="B220" s="33"/>
      <c r="C220" s="33"/>
      <c r="D220" s="33"/>
      <c r="E220" s="33"/>
      <c r="F220" s="34"/>
      <c r="G220" s="33"/>
      <c r="H220" s="33"/>
      <c r="I220" s="33"/>
      <c r="J220" s="33"/>
      <c r="K220" s="33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</row>
  </sheetData>
  <mergeCells count="3">
    <mergeCell ref="A1:K1"/>
    <mergeCell ref="A2:K2"/>
    <mergeCell ref="F3:G3"/>
  </mergeCells>
  <conditionalFormatting sqref="C6:C1000">
    <cfRule type="expression" dxfId="0" priority="1">
      <formula>C6="Income"</formula>
    </cfRule>
  </conditionalFormatting>
  <conditionalFormatting sqref="C6:C1000">
    <cfRule type="expression" dxfId="1" priority="2">
      <formula>C6="Expense"</formula>
    </cfRule>
  </conditionalFormatting>
  <dataValidations>
    <dataValidation type="list" allowBlank="1" sqref="D6:D500">
      <formula1>Setup!$H$6:$J$14</formula1>
    </dataValidation>
    <dataValidation type="list" allowBlank="1" sqref="G6:G500">
      <formula1>Setup!$L$6:$L$9</formula1>
    </dataValidation>
    <dataValidation type="list" allowBlank="1" sqref="B6:B500">
      <formula1>Setup!$B$6:$B$13</formula1>
    </dataValidation>
    <dataValidation type="list" allowBlank="1" sqref="J6:J500">
      <formula1>Setup!$R$6:$R$55</formula1>
    </dataValidation>
    <dataValidation type="list" allowBlank="1" sqref="K6:K500">
      <formula1>'Supplier Claims'!$O$7:$O$200</formula1>
    </dataValidation>
    <dataValidation type="list" allowBlank="1" sqref="C6:C500">
      <formula1>Setup!$F$6:$F$7</formula1>
    </dataValidation>
    <dataValidation type="list" allowBlank="1" sqref="I6:I500">
      <formula1>'Bills &amp; Payments Due'!$O$7:$O$500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24.0"/>
    <col customWidth="1" min="3" max="3" width="16.0"/>
    <col customWidth="1" min="4" max="4" width="18.0"/>
    <col customWidth="1" min="5" max="5" width="14.0"/>
    <col customWidth="1" min="6" max="6" width="12.0"/>
    <col customWidth="1" min="7" max="7" width="11.0"/>
    <col customWidth="1" min="8" max="8" width="12.0"/>
    <col customWidth="1" min="9" max="9" width="14.0"/>
    <col customWidth="1" min="10" max="10" width="15.0"/>
    <col customWidth="1" min="11" max="11" width="13.0"/>
    <col customWidth="1" min="12" max="12" width="20.0"/>
    <col customWidth="1" min="13" max="13" width="13.0"/>
    <col customWidth="1" min="14" max="14" width="24.0"/>
    <col customWidth="1" min="15" max="15" width="30.0"/>
    <col customWidth="1" min="16" max="16" width="22.0"/>
    <col customWidth="1" min="17" max="26" width="8.71"/>
  </cols>
  <sheetData>
    <row r="1" ht="21.75" customHeight="1">
      <c r="A1" s="2" t="s">
        <v>83</v>
      </c>
    </row>
    <row r="2" ht="15.0" customHeight="1">
      <c r="A2" s="3" t="s">
        <v>84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ht="15.0" customHeight="1">
      <c r="A4" s="4" t="s">
        <v>85</v>
      </c>
      <c r="E4" s="5">
        <v>5.0</v>
      </c>
      <c r="F4" s="1"/>
      <c r="G4" s="4" t="s">
        <v>86</v>
      </c>
      <c r="H4" s="42">
        <f>COUNTIFS(L7:L500,"Overdue")+COUNTIFS(L7:L500,"Partially Paid - Overdue")</f>
        <v>12</v>
      </c>
      <c r="I4" s="4" t="s">
        <v>87</v>
      </c>
      <c r="J4" s="43">
        <f>COUNTIFS(L7:L500,"Due Soon")+COUNTIFS(L7:L500,"Due Today")</f>
        <v>2</v>
      </c>
      <c r="K4" s="4" t="s">
        <v>88</v>
      </c>
      <c r="L4" s="44">
        <f>COUNTIFS(L7:L500,"Partially Paid")+COUNTIFS(L7:L500,"Partially Paid - Due Today")+COUNTIFS(L7:L500,"Partially Paid - Overdue")</f>
        <v>0</v>
      </c>
      <c r="M4" s="1"/>
      <c r="N4" s="1"/>
      <c r="O4" s="1"/>
      <c r="P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ht="30.0" customHeight="1">
      <c r="A6" s="15" t="s">
        <v>89</v>
      </c>
      <c r="B6" s="15" t="s">
        <v>90</v>
      </c>
      <c r="C6" s="15" t="s">
        <v>10</v>
      </c>
      <c r="D6" s="15" t="s">
        <v>76</v>
      </c>
      <c r="E6" s="15" t="s">
        <v>78</v>
      </c>
      <c r="F6" s="15" t="s">
        <v>91</v>
      </c>
      <c r="G6" s="15" t="s">
        <v>92</v>
      </c>
      <c r="H6" s="15" t="s">
        <v>93</v>
      </c>
      <c r="I6" s="15" t="s">
        <v>94</v>
      </c>
      <c r="J6" s="15" t="s">
        <v>95</v>
      </c>
      <c r="K6" s="15" t="s">
        <v>96</v>
      </c>
      <c r="L6" s="15" t="s">
        <v>97</v>
      </c>
      <c r="M6" s="15" t="s">
        <v>98</v>
      </c>
      <c r="N6" s="15" t="s">
        <v>79</v>
      </c>
      <c r="O6" s="15" t="s">
        <v>99</v>
      </c>
      <c r="P6" s="15" t="s">
        <v>81</v>
      </c>
    </row>
    <row r="7" ht="15.0" customHeight="1">
      <c r="A7" s="45" t="s">
        <v>100</v>
      </c>
      <c r="B7" s="28" t="s">
        <v>101</v>
      </c>
      <c r="C7" s="28" t="s">
        <v>22</v>
      </c>
      <c r="D7" s="28" t="s">
        <v>16</v>
      </c>
      <c r="E7" s="46" t="s">
        <v>102</v>
      </c>
      <c r="F7" s="47">
        <v>46215.0</v>
      </c>
      <c r="G7" s="28" t="s">
        <v>103</v>
      </c>
      <c r="H7" s="28" t="s">
        <v>104</v>
      </c>
      <c r="I7" s="48" t="s">
        <v>105</v>
      </c>
      <c r="J7" s="48" t="s">
        <v>102</v>
      </c>
      <c r="K7" s="45">
        <v>-5.0</v>
      </c>
      <c r="L7" s="45" t="s">
        <v>106</v>
      </c>
      <c r="M7" s="49"/>
      <c r="N7" s="25"/>
      <c r="O7" s="50" t="s">
        <v>107</v>
      </c>
      <c r="P7" s="16"/>
    </row>
    <row r="8" ht="15.0" customHeight="1">
      <c r="A8" s="51" t="s">
        <v>108</v>
      </c>
      <c r="B8" s="52" t="s">
        <v>109</v>
      </c>
      <c r="C8" s="52" t="s">
        <v>22</v>
      </c>
      <c r="D8" s="52" t="s">
        <v>15</v>
      </c>
      <c r="E8" s="53" t="s">
        <v>110</v>
      </c>
      <c r="F8" s="54">
        <v>46208.0</v>
      </c>
      <c r="G8" s="52" t="s">
        <v>103</v>
      </c>
      <c r="H8" s="52" t="s">
        <v>104</v>
      </c>
      <c r="I8" s="55" t="s">
        <v>105</v>
      </c>
      <c r="J8" s="55" t="s">
        <v>110</v>
      </c>
      <c r="K8" s="51">
        <v>-12.0</v>
      </c>
      <c r="L8" s="51" t="s">
        <v>106</v>
      </c>
      <c r="M8" s="56"/>
      <c r="N8" s="38"/>
      <c r="O8" s="50" t="s">
        <v>111</v>
      </c>
      <c r="P8" s="33"/>
    </row>
    <row r="9" ht="15.0" customHeight="1">
      <c r="A9" s="45" t="s">
        <v>112</v>
      </c>
      <c r="B9" s="28" t="s">
        <v>101</v>
      </c>
      <c r="C9" s="28" t="s">
        <v>20</v>
      </c>
      <c r="D9" s="28" t="s">
        <v>16</v>
      </c>
      <c r="E9" s="46" t="s">
        <v>113</v>
      </c>
      <c r="F9" s="47">
        <v>46218.0</v>
      </c>
      <c r="G9" s="28" t="s">
        <v>103</v>
      </c>
      <c r="H9" s="28" t="s">
        <v>104</v>
      </c>
      <c r="I9" s="48" t="s">
        <v>105</v>
      </c>
      <c r="J9" s="48" t="s">
        <v>113</v>
      </c>
      <c r="K9" s="45">
        <v>-2.0</v>
      </c>
      <c r="L9" s="45" t="s">
        <v>106</v>
      </c>
      <c r="M9" s="49"/>
      <c r="N9" s="25"/>
      <c r="O9" s="50" t="s">
        <v>114</v>
      </c>
      <c r="P9" s="16"/>
    </row>
    <row r="10" ht="15.0" customHeight="1">
      <c r="A10" s="51" t="s">
        <v>115</v>
      </c>
      <c r="B10" s="52" t="s">
        <v>109</v>
      </c>
      <c r="C10" s="52" t="s">
        <v>20</v>
      </c>
      <c r="D10" s="52" t="s">
        <v>15</v>
      </c>
      <c r="E10" s="53" t="s">
        <v>116</v>
      </c>
      <c r="F10" s="54">
        <v>46222.0</v>
      </c>
      <c r="G10" s="52" t="s">
        <v>103</v>
      </c>
      <c r="H10" s="52" t="s">
        <v>104</v>
      </c>
      <c r="I10" s="55" t="s">
        <v>105</v>
      </c>
      <c r="J10" s="55" t="s">
        <v>116</v>
      </c>
      <c r="K10" s="51">
        <v>2.0</v>
      </c>
      <c r="L10" s="51" t="s">
        <v>117</v>
      </c>
      <c r="M10" s="56"/>
      <c r="N10" s="38"/>
      <c r="O10" s="50" t="s">
        <v>118</v>
      </c>
      <c r="P10" s="38"/>
    </row>
    <row r="11" ht="15.0" customHeight="1">
      <c r="A11" s="45" t="s">
        <v>119</v>
      </c>
      <c r="B11" s="27" t="s">
        <v>120</v>
      </c>
      <c r="C11" s="27" t="s">
        <v>33</v>
      </c>
      <c r="D11" s="27" t="s">
        <v>16</v>
      </c>
      <c r="E11" s="48" t="s">
        <v>121</v>
      </c>
      <c r="F11" s="57">
        <v>46215.0</v>
      </c>
      <c r="G11" s="27" t="s">
        <v>103</v>
      </c>
      <c r="H11" s="27" t="s">
        <v>104</v>
      </c>
      <c r="I11" s="48" t="s">
        <v>105</v>
      </c>
      <c r="J11" s="48" t="s">
        <v>121</v>
      </c>
      <c r="K11" s="45">
        <v>-5.0</v>
      </c>
      <c r="L11" s="45" t="s">
        <v>106</v>
      </c>
      <c r="M11" s="49"/>
      <c r="N11" s="16"/>
      <c r="O11" s="50" t="s">
        <v>122</v>
      </c>
      <c r="P11" s="16"/>
    </row>
    <row r="12" ht="15.0" customHeight="1">
      <c r="A12" s="51" t="s">
        <v>123</v>
      </c>
      <c r="B12" s="58" t="s">
        <v>109</v>
      </c>
      <c r="C12" s="58" t="s">
        <v>33</v>
      </c>
      <c r="D12" s="58" t="s">
        <v>15</v>
      </c>
      <c r="E12" s="55" t="s">
        <v>110</v>
      </c>
      <c r="F12" s="59">
        <v>46209.0</v>
      </c>
      <c r="G12" s="58" t="s">
        <v>103</v>
      </c>
      <c r="H12" s="58" t="s">
        <v>104</v>
      </c>
      <c r="I12" s="55" t="s">
        <v>105</v>
      </c>
      <c r="J12" s="55" t="s">
        <v>110</v>
      </c>
      <c r="K12" s="51">
        <v>-11.0</v>
      </c>
      <c r="L12" s="51" t="s">
        <v>106</v>
      </c>
      <c r="M12" s="56"/>
      <c r="N12" s="33"/>
      <c r="O12" s="50" t="s">
        <v>124</v>
      </c>
      <c r="P12" s="33"/>
    </row>
    <row r="13" ht="15.0" customHeight="1">
      <c r="A13" s="45" t="s">
        <v>125</v>
      </c>
      <c r="B13" s="27" t="s">
        <v>101</v>
      </c>
      <c r="C13" s="27" t="s">
        <v>28</v>
      </c>
      <c r="D13" s="27" t="s">
        <v>16</v>
      </c>
      <c r="E13" s="48" t="s">
        <v>126</v>
      </c>
      <c r="F13" s="57">
        <v>46211.0</v>
      </c>
      <c r="G13" s="27" t="s">
        <v>103</v>
      </c>
      <c r="H13" s="27" t="s">
        <v>104</v>
      </c>
      <c r="I13" s="48" t="s">
        <v>105</v>
      </c>
      <c r="J13" s="48" t="s">
        <v>126</v>
      </c>
      <c r="K13" s="45">
        <v>-9.0</v>
      </c>
      <c r="L13" s="45" t="s">
        <v>106</v>
      </c>
      <c r="M13" s="49"/>
      <c r="N13" s="16"/>
      <c r="O13" s="50" t="s">
        <v>127</v>
      </c>
      <c r="P13" s="16"/>
    </row>
    <row r="14" ht="15.0" customHeight="1">
      <c r="A14" s="51" t="s">
        <v>128</v>
      </c>
      <c r="B14" s="58" t="s">
        <v>109</v>
      </c>
      <c r="C14" s="58" t="s">
        <v>28</v>
      </c>
      <c r="D14" s="58" t="s">
        <v>15</v>
      </c>
      <c r="E14" s="55" t="s">
        <v>116</v>
      </c>
      <c r="F14" s="59">
        <v>46219.0</v>
      </c>
      <c r="G14" s="58" t="s">
        <v>103</v>
      </c>
      <c r="H14" s="58" t="s">
        <v>104</v>
      </c>
      <c r="I14" s="55" t="s">
        <v>105</v>
      </c>
      <c r="J14" s="55" t="s">
        <v>116</v>
      </c>
      <c r="K14" s="51">
        <v>-1.0</v>
      </c>
      <c r="L14" s="51" t="s">
        <v>106</v>
      </c>
      <c r="M14" s="56"/>
      <c r="N14" s="33"/>
      <c r="O14" s="50" t="s">
        <v>129</v>
      </c>
      <c r="P14" s="33"/>
    </row>
    <row r="15" ht="15.0" customHeight="1">
      <c r="A15" s="45" t="s">
        <v>130</v>
      </c>
      <c r="B15" s="27" t="s">
        <v>101</v>
      </c>
      <c r="C15" s="27" t="s">
        <v>26</v>
      </c>
      <c r="D15" s="27" t="s">
        <v>16</v>
      </c>
      <c r="E15" s="48" t="s">
        <v>131</v>
      </c>
      <c r="F15" s="57">
        <v>46212.0</v>
      </c>
      <c r="G15" s="27" t="s">
        <v>103</v>
      </c>
      <c r="H15" s="27" t="s">
        <v>104</v>
      </c>
      <c r="I15" s="48" t="s">
        <v>105</v>
      </c>
      <c r="J15" s="48" t="s">
        <v>131</v>
      </c>
      <c r="K15" s="45">
        <v>-8.0</v>
      </c>
      <c r="L15" s="45" t="s">
        <v>106</v>
      </c>
      <c r="M15" s="49"/>
      <c r="N15" s="16"/>
      <c r="O15" s="50" t="s">
        <v>132</v>
      </c>
      <c r="P15" s="16"/>
    </row>
    <row r="16" ht="15.0" customHeight="1">
      <c r="A16" s="51" t="s">
        <v>133</v>
      </c>
      <c r="B16" s="58" t="s">
        <v>109</v>
      </c>
      <c r="C16" s="58" t="s">
        <v>26</v>
      </c>
      <c r="D16" s="58" t="s">
        <v>15</v>
      </c>
      <c r="E16" s="55" t="s">
        <v>116</v>
      </c>
      <c r="F16" s="59">
        <v>46218.0</v>
      </c>
      <c r="G16" s="58" t="s">
        <v>103</v>
      </c>
      <c r="H16" s="58" t="s">
        <v>104</v>
      </c>
      <c r="I16" s="55" t="s">
        <v>105</v>
      </c>
      <c r="J16" s="55" t="s">
        <v>116</v>
      </c>
      <c r="K16" s="51">
        <v>-2.0</v>
      </c>
      <c r="L16" s="51" t="s">
        <v>106</v>
      </c>
      <c r="M16" s="56"/>
      <c r="N16" s="33"/>
      <c r="O16" s="50" t="s">
        <v>134</v>
      </c>
      <c r="P16" s="33"/>
    </row>
    <row r="17" ht="15.0" customHeight="1">
      <c r="A17" s="45" t="s">
        <v>135</v>
      </c>
      <c r="B17" s="27" t="s">
        <v>101</v>
      </c>
      <c r="C17" s="27" t="s">
        <v>24</v>
      </c>
      <c r="D17" s="27" t="s">
        <v>16</v>
      </c>
      <c r="E17" s="48" t="s">
        <v>136</v>
      </c>
      <c r="F17" s="57">
        <v>46225.0</v>
      </c>
      <c r="G17" s="27" t="s">
        <v>103</v>
      </c>
      <c r="H17" s="27" t="s">
        <v>104</v>
      </c>
      <c r="I17" s="48" t="s">
        <v>105</v>
      </c>
      <c r="J17" s="48" t="s">
        <v>136</v>
      </c>
      <c r="K17" s="45">
        <v>5.0</v>
      </c>
      <c r="L17" s="45" t="s">
        <v>117</v>
      </c>
      <c r="M17" s="49"/>
      <c r="N17" s="16"/>
      <c r="O17" s="50" t="s">
        <v>137</v>
      </c>
      <c r="P17" s="16"/>
    </row>
    <row r="18" ht="15.0" customHeight="1">
      <c r="A18" s="51" t="s">
        <v>138</v>
      </c>
      <c r="B18" s="58" t="s">
        <v>109</v>
      </c>
      <c r="C18" s="58" t="s">
        <v>24</v>
      </c>
      <c r="D18" s="58" t="s">
        <v>15</v>
      </c>
      <c r="E18" s="55" t="s">
        <v>116</v>
      </c>
      <c r="F18" s="59">
        <v>46218.0</v>
      </c>
      <c r="G18" s="58" t="s">
        <v>103</v>
      </c>
      <c r="H18" s="58" t="s">
        <v>104</v>
      </c>
      <c r="I18" s="55" t="s">
        <v>105</v>
      </c>
      <c r="J18" s="55" t="s">
        <v>116</v>
      </c>
      <c r="K18" s="51">
        <v>-2.0</v>
      </c>
      <c r="L18" s="51" t="s">
        <v>106</v>
      </c>
      <c r="M18" s="56"/>
      <c r="N18" s="33"/>
      <c r="O18" s="50" t="s">
        <v>139</v>
      </c>
      <c r="P18" s="33"/>
    </row>
    <row r="19" ht="15.0" customHeight="1">
      <c r="A19" s="45" t="s">
        <v>140</v>
      </c>
      <c r="B19" s="27" t="s">
        <v>141</v>
      </c>
      <c r="C19" s="27" t="s">
        <v>30</v>
      </c>
      <c r="D19" s="27" t="s">
        <v>16</v>
      </c>
      <c r="E19" s="48" t="s">
        <v>136</v>
      </c>
      <c r="F19" s="40"/>
      <c r="G19" s="27" t="s">
        <v>103</v>
      </c>
      <c r="H19" s="27" t="s">
        <v>104</v>
      </c>
      <c r="I19" s="48" t="s">
        <v>105</v>
      </c>
      <c r="J19" s="48" t="s">
        <v>136</v>
      </c>
      <c r="K19" s="29"/>
      <c r="L19" s="45" t="s">
        <v>142</v>
      </c>
      <c r="M19" s="49"/>
      <c r="N19" s="16"/>
      <c r="O19" s="50" t="s">
        <v>143</v>
      </c>
      <c r="P19" s="16"/>
    </row>
    <row r="20" ht="15.0" customHeight="1">
      <c r="A20" s="51" t="s">
        <v>144</v>
      </c>
      <c r="B20" s="58" t="s">
        <v>109</v>
      </c>
      <c r="C20" s="58" t="s">
        <v>30</v>
      </c>
      <c r="D20" s="58" t="s">
        <v>15</v>
      </c>
      <c r="E20" s="55" t="s">
        <v>116</v>
      </c>
      <c r="F20" s="32"/>
      <c r="G20" s="58" t="s">
        <v>103</v>
      </c>
      <c r="H20" s="58" t="s">
        <v>104</v>
      </c>
      <c r="I20" s="55" t="s">
        <v>105</v>
      </c>
      <c r="J20" s="55" t="s">
        <v>116</v>
      </c>
      <c r="K20" s="60"/>
      <c r="L20" s="51" t="s">
        <v>142</v>
      </c>
      <c r="M20" s="56"/>
      <c r="N20" s="33"/>
      <c r="O20" s="50" t="s">
        <v>145</v>
      </c>
      <c r="P20" s="33"/>
    </row>
    <row r="21" ht="15.0" customHeight="1">
      <c r="A21" s="45" t="s">
        <v>146</v>
      </c>
      <c r="B21" s="27" t="s">
        <v>141</v>
      </c>
      <c r="C21" s="27" t="s">
        <v>32</v>
      </c>
      <c r="D21" s="27" t="s">
        <v>16</v>
      </c>
      <c r="E21" s="48" t="s">
        <v>147</v>
      </c>
      <c r="F21" s="57">
        <v>46215.0</v>
      </c>
      <c r="G21" s="27" t="s">
        <v>103</v>
      </c>
      <c r="H21" s="27" t="s">
        <v>104</v>
      </c>
      <c r="I21" s="48" t="s">
        <v>105</v>
      </c>
      <c r="J21" s="48" t="s">
        <v>147</v>
      </c>
      <c r="K21" s="45">
        <v>-5.0</v>
      </c>
      <c r="L21" s="45" t="s">
        <v>106</v>
      </c>
      <c r="M21" s="49"/>
      <c r="N21" s="16"/>
      <c r="O21" s="50" t="s">
        <v>148</v>
      </c>
      <c r="P21" s="16"/>
    </row>
    <row r="22" ht="15.0" customHeight="1">
      <c r="A22" s="51" t="s">
        <v>149</v>
      </c>
      <c r="B22" s="58" t="s">
        <v>109</v>
      </c>
      <c r="C22" s="58" t="s">
        <v>32</v>
      </c>
      <c r="D22" s="58" t="s">
        <v>15</v>
      </c>
      <c r="E22" s="55" t="s">
        <v>150</v>
      </c>
      <c r="F22" s="59">
        <v>46219.0</v>
      </c>
      <c r="G22" s="58" t="s">
        <v>103</v>
      </c>
      <c r="H22" s="58" t="s">
        <v>104</v>
      </c>
      <c r="I22" s="55" t="s">
        <v>105</v>
      </c>
      <c r="J22" s="55" t="s">
        <v>150</v>
      </c>
      <c r="K22" s="51">
        <v>-1.0</v>
      </c>
      <c r="L22" s="51" t="s">
        <v>106</v>
      </c>
      <c r="M22" s="56"/>
      <c r="N22" s="33"/>
      <c r="O22" s="50" t="s">
        <v>151</v>
      </c>
      <c r="P22" s="33"/>
    </row>
    <row r="23" ht="15.0" customHeight="1">
      <c r="A23" s="29" t="str">
        <f t="shared" ref="A23:A500" si="1">IF(B23="","","BILL-"&amp;TEXT(ROW()-6,"000"))</f>
        <v/>
      </c>
      <c r="B23" s="16"/>
      <c r="C23" s="16"/>
      <c r="D23" s="16"/>
      <c r="E23" s="17"/>
      <c r="F23" s="40"/>
      <c r="G23" s="16"/>
      <c r="H23" s="16"/>
      <c r="I23" s="17">
        <f>IF($A23="",0,SUMIFS('Daily Transactions'!$F$6:$F$500,'Daily Transactions'!$I$6:$I$500,$O23,'Daily Transactions'!$C$6:$C$500,"Expense"))</f>
        <v>0</v>
      </c>
      <c r="J23" s="17" t="str">
        <f t="shared" ref="J23:J500" si="2">IF($A23="","",MAX(0,E23-I23))</f>
        <v/>
      </c>
      <c r="K23" s="29" t="str">
        <f t="shared" ref="K23:K500" si="3">IF(F23="","",F23-TODAY())</f>
        <v/>
      </c>
      <c r="L23" s="29" t="str">
        <f t="shared" ref="L23:L500" si="4">IF($A23="","",IF(I23&gt;=E23,"Paid in Full",IF(I23&gt;0,IF(K23&lt;0,"Partially Paid - Overdue",IF(K23&lt;=0,"Partially Paid - Due Today","Partially Paid")),IF(K23&lt;0,"Overdue",IF(K23=0,"Due Today",IF(K23&lt;=$E$4,"Due Soon","Upcoming"))))))</f>
        <v/>
      </c>
      <c r="M23" s="49" t="str">
        <f>IF($A23="","",IF(I23&gt;=E23,MAXIFS('Daily Transactions'!$A$6:$A$500,'Daily Transactions'!$I$6:$I$500,$O23,'Daily Transactions'!$C$6:$C$500,"Expense"),""))</f>
        <v/>
      </c>
      <c r="N23" s="16"/>
      <c r="O23" s="26" t="str">
        <f t="shared" ref="O23:O500" si="5">IF(B23="","",$A23&amp;" | "&amp;B23&amp;" ("&amp;C23&amp;")")</f>
        <v/>
      </c>
      <c r="P23" s="16"/>
    </row>
    <row r="24" ht="15.0" customHeight="1">
      <c r="A24" s="60" t="str">
        <f t="shared" si="1"/>
        <v/>
      </c>
      <c r="B24" s="33"/>
      <c r="C24" s="33"/>
      <c r="D24" s="33"/>
      <c r="E24" s="61"/>
      <c r="F24" s="32"/>
      <c r="G24" s="33"/>
      <c r="H24" s="33"/>
      <c r="I24" s="61">
        <f>IF($A24="",0,SUMIFS('Daily Transactions'!$F$6:$F$500,'Daily Transactions'!$I$6:$I$500,$O24,'Daily Transactions'!$C$6:$C$500,"Expense"))</f>
        <v>0</v>
      </c>
      <c r="J24" s="61" t="str">
        <f t="shared" si="2"/>
        <v/>
      </c>
      <c r="K24" s="60" t="str">
        <f t="shared" si="3"/>
        <v/>
      </c>
      <c r="L24" s="60" t="str">
        <f t="shared" si="4"/>
        <v/>
      </c>
      <c r="M24" s="56" t="str">
        <f>IF($A24="","",IF(I24&gt;=E24,MAXIFS('Daily Transactions'!$A$6:$A$500,'Daily Transactions'!$I$6:$I$500,$O24,'Daily Transactions'!$C$6:$C$500,"Expense"),""))</f>
        <v/>
      </c>
      <c r="N24" s="33"/>
      <c r="O24" s="26" t="str">
        <f t="shared" si="5"/>
        <v/>
      </c>
      <c r="P24" s="33"/>
    </row>
    <row r="25" ht="15.0" customHeight="1">
      <c r="A25" s="29" t="str">
        <f t="shared" si="1"/>
        <v/>
      </c>
      <c r="B25" s="16"/>
      <c r="C25" s="16"/>
      <c r="D25" s="16"/>
      <c r="E25" s="17"/>
      <c r="F25" s="40"/>
      <c r="G25" s="16"/>
      <c r="H25" s="16"/>
      <c r="I25" s="17">
        <f>IF($A25="",0,SUMIFS('Daily Transactions'!$F$6:$F$500,'Daily Transactions'!$I$6:$I$500,$O25,'Daily Transactions'!$C$6:$C$500,"Expense"))</f>
        <v>0</v>
      </c>
      <c r="J25" s="17" t="str">
        <f t="shared" si="2"/>
        <v/>
      </c>
      <c r="K25" s="29" t="str">
        <f t="shared" si="3"/>
        <v/>
      </c>
      <c r="L25" s="29" t="str">
        <f t="shared" si="4"/>
        <v/>
      </c>
      <c r="M25" s="49" t="str">
        <f>IF($A25="","",IF(I25&gt;=E25,MAXIFS('Daily Transactions'!$A$6:$A$500,'Daily Transactions'!$I$6:$I$500,$O25,'Daily Transactions'!$C$6:$C$500,"Expense"),""))</f>
        <v/>
      </c>
      <c r="N25" s="16"/>
      <c r="O25" s="26" t="str">
        <f t="shared" si="5"/>
        <v/>
      </c>
      <c r="P25" s="16"/>
    </row>
    <row r="26" ht="15.0" customHeight="1">
      <c r="A26" s="60" t="str">
        <f t="shared" si="1"/>
        <v/>
      </c>
      <c r="B26" s="33"/>
      <c r="C26" s="33"/>
      <c r="D26" s="33"/>
      <c r="E26" s="61"/>
      <c r="F26" s="32"/>
      <c r="G26" s="33"/>
      <c r="H26" s="33"/>
      <c r="I26" s="61">
        <f>IF($A26="",0,SUMIFS('Daily Transactions'!$F$6:$F$500,'Daily Transactions'!$I$6:$I$500,$O26,'Daily Transactions'!$C$6:$C$500,"Expense"))</f>
        <v>0</v>
      </c>
      <c r="J26" s="61" t="str">
        <f t="shared" si="2"/>
        <v/>
      </c>
      <c r="K26" s="60" t="str">
        <f t="shared" si="3"/>
        <v/>
      </c>
      <c r="L26" s="60" t="str">
        <f t="shared" si="4"/>
        <v/>
      </c>
      <c r="M26" s="56" t="str">
        <f>IF($A26="","",IF(I26&gt;=E26,MAXIFS('Daily Transactions'!$A$6:$A$500,'Daily Transactions'!$I$6:$I$500,$O26,'Daily Transactions'!$C$6:$C$500,"Expense"),""))</f>
        <v/>
      </c>
      <c r="N26" s="33"/>
      <c r="O26" s="26" t="str">
        <f t="shared" si="5"/>
        <v/>
      </c>
      <c r="P26" s="33"/>
    </row>
    <row r="27" ht="15.0" customHeight="1">
      <c r="A27" s="29" t="str">
        <f t="shared" si="1"/>
        <v/>
      </c>
      <c r="B27" s="16"/>
      <c r="C27" s="16"/>
      <c r="D27" s="16"/>
      <c r="E27" s="17"/>
      <c r="F27" s="40"/>
      <c r="G27" s="16"/>
      <c r="H27" s="16"/>
      <c r="I27" s="17">
        <f>IF($A27="",0,SUMIFS('Daily Transactions'!$F$6:$F$500,'Daily Transactions'!$I$6:$I$500,$O27,'Daily Transactions'!$C$6:$C$500,"Expense"))</f>
        <v>0</v>
      </c>
      <c r="J27" s="17" t="str">
        <f t="shared" si="2"/>
        <v/>
      </c>
      <c r="K27" s="29" t="str">
        <f t="shared" si="3"/>
        <v/>
      </c>
      <c r="L27" s="29" t="str">
        <f t="shared" si="4"/>
        <v/>
      </c>
      <c r="M27" s="49" t="str">
        <f>IF($A27="","",IF(I27&gt;=E27,MAXIFS('Daily Transactions'!$A$6:$A$500,'Daily Transactions'!$I$6:$I$500,$O27,'Daily Transactions'!$C$6:$C$500,"Expense"),""))</f>
        <v/>
      </c>
      <c r="N27" s="16"/>
      <c r="O27" s="26" t="str">
        <f t="shared" si="5"/>
        <v/>
      </c>
      <c r="P27" s="16"/>
    </row>
    <row r="28" ht="15.0" customHeight="1">
      <c r="A28" s="60" t="str">
        <f t="shared" si="1"/>
        <v/>
      </c>
      <c r="B28" s="33"/>
      <c r="C28" s="33"/>
      <c r="D28" s="33"/>
      <c r="E28" s="61"/>
      <c r="F28" s="32"/>
      <c r="G28" s="33"/>
      <c r="H28" s="33"/>
      <c r="I28" s="61">
        <f>IF($A28="",0,SUMIFS('Daily Transactions'!$F$6:$F$500,'Daily Transactions'!$I$6:$I$500,$O28,'Daily Transactions'!$C$6:$C$500,"Expense"))</f>
        <v>0</v>
      </c>
      <c r="J28" s="61" t="str">
        <f t="shared" si="2"/>
        <v/>
      </c>
      <c r="K28" s="60" t="str">
        <f t="shared" si="3"/>
        <v/>
      </c>
      <c r="L28" s="60" t="str">
        <f t="shared" si="4"/>
        <v/>
      </c>
      <c r="M28" s="56" t="str">
        <f>IF($A28="","",IF(I28&gt;=E28,MAXIFS('Daily Transactions'!$A$6:$A$500,'Daily Transactions'!$I$6:$I$500,$O28,'Daily Transactions'!$C$6:$C$500,"Expense"),""))</f>
        <v/>
      </c>
      <c r="N28" s="33"/>
      <c r="O28" s="26" t="str">
        <f t="shared" si="5"/>
        <v/>
      </c>
      <c r="P28" s="33"/>
    </row>
    <row r="29" ht="15.0" customHeight="1">
      <c r="A29" s="29" t="str">
        <f t="shared" si="1"/>
        <v/>
      </c>
      <c r="B29" s="16"/>
      <c r="C29" s="16"/>
      <c r="D29" s="16"/>
      <c r="E29" s="17"/>
      <c r="F29" s="40"/>
      <c r="G29" s="16"/>
      <c r="H29" s="16"/>
      <c r="I29" s="17">
        <f>IF($A29="",0,SUMIFS('Daily Transactions'!$F$6:$F$500,'Daily Transactions'!$I$6:$I$500,$O29,'Daily Transactions'!$C$6:$C$500,"Expense"))</f>
        <v>0</v>
      </c>
      <c r="J29" s="17" t="str">
        <f t="shared" si="2"/>
        <v/>
      </c>
      <c r="K29" s="29" t="str">
        <f t="shared" si="3"/>
        <v/>
      </c>
      <c r="L29" s="29" t="str">
        <f t="shared" si="4"/>
        <v/>
      </c>
      <c r="M29" s="49" t="str">
        <f>IF($A29="","",IF(I29&gt;=E29,MAXIFS('Daily Transactions'!$A$6:$A$500,'Daily Transactions'!$I$6:$I$500,$O29,'Daily Transactions'!$C$6:$C$500,"Expense"),""))</f>
        <v/>
      </c>
      <c r="N29" s="16"/>
      <c r="O29" s="26" t="str">
        <f t="shared" si="5"/>
        <v/>
      </c>
      <c r="P29" s="16"/>
    </row>
    <row r="30" ht="15.0" customHeight="1">
      <c r="A30" s="60" t="str">
        <f t="shared" si="1"/>
        <v/>
      </c>
      <c r="B30" s="33"/>
      <c r="C30" s="33"/>
      <c r="D30" s="33"/>
      <c r="E30" s="61"/>
      <c r="F30" s="32"/>
      <c r="G30" s="33"/>
      <c r="H30" s="33"/>
      <c r="I30" s="61">
        <f>IF($A30="",0,SUMIFS('Daily Transactions'!$F$6:$F$500,'Daily Transactions'!$I$6:$I$500,$O30,'Daily Transactions'!$C$6:$C$500,"Expense"))</f>
        <v>0</v>
      </c>
      <c r="J30" s="61" t="str">
        <f t="shared" si="2"/>
        <v/>
      </c>
      <c r="K30" s="60" t="str">
        <f t="shared" si="3"/>
        <v/>
      </c>
      <c r="L30" s="60" t="str">
        <f t="shared" si="4"/>
        <v/>
      </c>
      <c r="M30" s="56" t="str">
        <f>IF($A30="","",IF(I30&gt;=E30,MAXIFS('Daily Transactions'!$A$6:$A$500,'Daily Transactions'!$I$6:$I$500,$O30,'Daily Transactions'!$C$6:$C$500,"Expense"),""))</f>
        <v/>
      </c>
      <c r="N30" s="33"/>
      <c r="O30" s="26" t="str">
        <f t="shared" si="5"/>
        <v/>
      </c>
      <c r="P30" s="33"/>
    </row>
    <row r="31" ht="15.0" customHeight="1">
      <c r="A31" s="29" t="str">
        <f t="shared" si="1"/>
        <v/>
      </c>
      <c r="B31" s="16"/>
      <c r="C31" s="16"/>
      <c r="D31" s="16"/>
      <c r="E31" s="17"/>
      <c r="F31" s="40"/>
      <c r="G31" s="16"/>
      <c r="H31" s="16"/>
      <c r="I31" s="17">
        <f>IF($A31="",0,SUMIFS('Daily Transactions'!$F$6:$F$500,'Daily Transactions'!$I$6:$I$500,$O31,'Daily Transactions'!$C$6:$C$500,"Expense"))</f>
        <v>0</v>
      </c>
      <c r="J31" s="17" t="str">
        <f t="shared" si="2"/>
        <v/>
      </c>
      <c r="K31" s="29" t="str">
        <f t="shared" si="3"/>
        <v/>
      </c>
      <c r="L31" s="29" t="str">
        <f t="shared" si="4"/>
        <v/>
      </c>
      <c r="M31" s="49" t="str">
        <f>IF($A31="","",IF(I31&gt;=E31,MAXIFS('Daily Transactions'!$A$6:$A$500,'Daily Transactions'!$I$6:$I$500,$O31,'Daily Transactions'!$C$6:$C$500,"Expense"),""))</f>
        <v/>
      </c>
      <c r="N31" s="16"/>
      <c r="O31" s="26" t="str">
        <f t="shared" si="5"/>
        <v/>
      </c>
      <c r="P31" s="16"/>
    </row>
    <row r="32" ht="15.0" customHeight="1">
      <c r="A32" s="60" t="str">
        <f t="shared" si="1"/>
        <v/>
      </c>
      <c r="B32" s="33"/>
      <c r="C32" s="33"/>
      <c r="D32" s="33"/>
      <c r="E32" s="61"/>
      <c r="F32" s="32"/>
      <c r="G32" s="33"/>
      <c r="H32" s="33"/>
      <c r="I32" s="61">
        <f>IF($A32="",0,SUMIFS('Daily Transactions'!$F$6:$F$500,'Daily Transactions'!$I$6:$I$500,$O32,'Daily Transactions'!$C$6:$C$500,"Expense"))</f>
        <v>0</v>
      </c>
      <c r="J32" s="61" t="str">
        <f t="shared" si="2"/>
        <v/>
      </c>
      <c r="K32" s="60" t="str">
        <f t="shared" si="3"/>
        <v/>
      </c>
      <c r="L32" s="60" t="str">
        <f t="shared" si="4"/>
        <v/>
      </c>
      <c r="M32" s="56" t="str">
        <f>IF($A32="","",IF(I32&gt;=E32,MAXIFS('Daily Transactions'!$A$6:$A$500,'Daily Transactions'!$I$6:$I$500,$O32,'Daily Transactions'!$C$6:$C$500,"Expense"),""))</f>
        <v/>
      </c>
      <c r="N32" s="33"/>
      <c r="O32" s="26" t="str">
        <f t="shared" si="5"/>
        <v/>
      </c>
      <c r="P32" s="33"/>
    </row>
    <row r="33" ht="15.0" customHeight="1">
      <c r="A33" s="29" t="str">
        <f t="shared" si="1"/>
        <v/>
      </c>
      <c r="B33" s="16"/>
      <c r="C33" s="16"/>
      <c r="D33" s="16"/>
      <c r="E33" s="17"/>
      <c r="F33" s="40"/>
      <c r="G33" s="16"/>
      <c r="H33" s="16"/>
      <c r="I33" s="17">
        <f>IF($A33="",0,SUMIFS('Daily Transactions'!$F$6:$F$500,'Daily Transactions'!$I$6:$I$500,$O33,'Daily Transactions'!$C$6:$C$500,"Expense"))</f>
        <v>0</v>
      </c>
      <c r="J33" s="17" t="str">
        <f t="shared" si="2"/>
        <v/>
      </c>
      <c r="K33" s="29" t="str">
        <f t="shared" si="3"/>
        <v/>
      </c>
      <c r="L33" s="29" t="str">
        <f t="shared" si="4"/>
        <v/>
      </c>
      <c r="M33" s="49" t="str">
        <f>IF($A33="","",IF(I33&gt;=E33,MAXIFS('Daily Transactions'!$A$6:$A$500,'Daily Transactions'!$I$6:$I$500,$O33,'Daily Transactions'!$C$6:$C$500,"Expense"),""))</f>
        <v/>
      </c>
      <c r="N33" s="16"/>
      <c r="O33" s="26" t="str">
        <f t="shared" si="5"/>
        <v/>
      </c>
      <c r="P33" s="16"/>
    </row>
    <row r="34" ht="15.0" customHeight="1">
      <c r="A34" s="60" t="str">
        <f t="shared" si="1"/>
        <v/>
      </c>
      <c r="B34" s="33"/>
      <c r="C34" s="33"/>
      <c r="D34" s="33"/>
      <c r="E34" s="61"/>
      <c r="F34" s="32"/>
      <c r="G34" s="33"/>
      <c r="H34" s="33"/>
      <c r="I34" s="61">
        <f>IF($A34="",0,SUMIFS('Daily Transactions'!$F$6:$F$500,'Daily Transactions'!$I$6:$I$500,$O34,'Daily Transactions'!$C$6:$C$500,"Expense"))</f>
        <v>0</v>
      </c>
      <c r="J34" s="61" t="str">
        <f t="shared" si="2"/>
        <v/>
      </c>
      <c r="K34" s="60" t="str">
        <f t="shared" si="3"/>
        <v/>
      </c>
      <c r="L34" s="60" t="str">
        <f t="shared" si="4"/>
        <v/>
      </c>
      <c r="M34" s="56" t="str">
        <f>IF($A34="","",IF(I34&gt;=E34,MAXIFS('Daily Transactions'!$A$6:$A$500,'Daily Transactions'!$I$6:$I$500,$O34,'Daily Transactions'!$C$6:$C$500,"Expense"),""))</f>
        <v/>
      </c>
      <c r="N34" s="33"/>
      <c r="O34" s="26" t="str">
        <f t="shared" si="5"/>
        <v/>
      </c>
      <c r="P34" s="33"/>
    </row>
    <row r="35" ht="15.0" customHeight="1">
      <c r="A35" s="29" t="str">
        <f t="shared" si="1"/>
        <v/>
      </c>
      <c r="B35" s="16"/>
      <c r="C35" s="16"/>
      <c r="D35" s="16"/>
      <c r="E35" s="17"/>
      <c r="F35" s="40"/>
      <c r="G35" s="16"/>
      <c r="H35" s="16"/>
      <c r="I35" s="17">
        <f>IF($A35="",0,SUMIFS('Daily Transactions'!$F$6:$F$500,'Daily Transactions'!$I$6:$I$500,$O35,'Daily Transactions'!$C$6:$C$500,"Expense"))</f>
        <v>0</v>
      </c>
      <c r="J35" s="17" t="str">
        <f t="shared" si="2"/>
        <v/>
      </c>
      <c r="K35" s="29" t="str">
        <f t="shared" si="3"/>
        <v/>
      </c>
      <c r="L35" s="29" t="str">
        <f t="shared" si="4"/>
        <v/>
      </c>
      <c r="M35" s="49" t="str">
        <f>IF($A35="","",IF(I35&gt;=E35,MAXIFS('Daily Transactions'!$A$6:$A$500,'Daily Transactions'!$I$6:$I$500,$O35,'Daily Transactions'!$C$6:$C$500,"Expense"),""))</f>
        <v/>
      </c>
      <c r="N35" s="16"/>
      <c r="O35" s="26" t="str">
        <f t="shared" si="5"/>
        <v/>
      </c>
      <c r="P35" s="16"/>
    </row>
    <row r="36" ht="15.0" customHeight="1">
      <c r="A36" s="60" t="str">
        <f t="shared" si="1"/>
        <v/>
      </c>
      <c r="B36" s="33"/>
      <c r="C36" s="33"/>
      <c r="D36" s="33"/>
      <c r="E36" s="61"/>
      <c r="F36" s="32"/>
      <c r="G36" s="33"/>
      <c r="H36" s="33"/>
      <c r="I36" s="61">
        <f>IF($A36="",0,SUMIFS('Daily Transactions'!$F$6:$F$500,'Daily Transactions'!$I$6:$I$500,$O36,'Daily Transactions'!$C$6:$C$500,"Expense"))</f>
        <v>0</v>
      </c>
      <c r="J36" s="61" t="str">
        <f t="shared" si="2"/>
        <v/>
      </c>
      <c r="K36" s="60" t="str">
        <f t="shared" si="3"/>
        <v/>
      </c>
      <c r="L36" s="60" t="str">
        <f t="shared" si="4"/>
        <v/>
      </c>
      <c r="M36" s="56" t="str">
        <f>IF($A36="","",IF(I36&gt;=E36,MAXIFS('Daily Transactions'!$A$6:$A$500,'Daily Transactions'!$I$6:$I$500,$O36,'Daily Transactions'!$C$6:$C$500,"Expense"),""))</f>
        <v/>
      </c>
      <c r="N36" s="33"/>
      <c r="O36" s="26" t="str">
        <f t="shared" si="5"/>
        <v/>
      </c>
      <c r="P36" s="33"/>
    </row>
    <row r="37" ht="15.0" customHeight="1">
      <c r="A37" s="29" t="str">
        <f t="shared" si="1"/>
        <v/>
      </c>
      <c r="B37" s="16"/>
      <c r="C37" s="16"/>
      <c r="D37" s="16"/>
      <c r="E37" s="17"/>
      <c r="F37" s="40"/>
      <c r="G37" s="16"/>
      <c r="H37" s="16"/>
      <c r="I37" s="17">
        <f>IF($A37="",0,SUMIFS('Daily Transactions'!$F$6:$F$500,'Daily Transactions'!$I$6:$I$500,$O37,'Daily Transactions'!$C$6:$C$500,"Expense"))</f>
        <v>0</v>
      </c>
      <c r="J37" s="17" t="str">
        <f t="shared" si="2"/>
        <v/>
      </c>
      <c r="K37" s="29" t="str">
        <f t="shared" si="3"/>
        <v/>
      </c>
      <c r="L37" s="29" t="str">
        <f t="shared" si="4"/>
        <v/>
      </c>
      <c r="M37" s="49" t="str">
        <f>IF($A37="","",IF(I37&gt;=E37,MAXIFS('Daily Transactions'!$A$6:$A$500,'Daily Transactions'!$I$6:$I$500,$O37,'Daily Transactions'!$C$6:$C$500,"Expense"),""))</f>
        <v/>
      </c>
      <c r="N37" s="16"/>
      <c r="O37" s="26" t="str">
        <f t="shared" si="5"/>
        <v/>
      </c>
      <c r="P37" s="16"/>
    </row>
    <row r="38" ht="15.0" customHeight="1">
      <c r="A38" s="60" t="str">
        <f t="shared" si="1"/>
        <v/>
      </c>
      <c r="B38" s="33"/>
      <c r="C38" s="33"/>
      <c r="D38" s="33"/>
      <c r="E38" s="61"/>
      <c r="F38" s="32"/>
      <c r="G38" s="33"/>
      <c r="H38" s="33"/>
      <c r="I38" s="61">
        <f>IF($A38="",0,SUMIFS('Daily Transactions'!$F$6:$F$500,'Daily Transactions'!$I$6:$I$500,$O38,'Daily Transactions'!$C$6:$C$500,"Expense"))</f>
        <v>0</v>
      </c>
      <c r="J38" s="61" t="str">
        <f t="shared" si="2"/>
        <v/>
      </c>
      <c r="K38" s="60" t="str">
        <f t="shared" si="3"/>
        <v/>
      </c>
      <c r="L38" s="60" t="str">
        <f t="shared" si="4"/>
        <v/>
      </c>
      <c r="M38" s="56" t="str">
        <f>IF($A38="","",IF(I38&gt;=E38,MAXIFS('Daily Transactions'!$A$6:$A$500,'Daily Transactions'!$I$6:$I$500,$O38,'Daily Transactions'!$C$6:$C$500,"Expense"),""))</f>
        <v/>
      </c>
      <c r="N38" s="33"/>
      <c r="O38" s="26" t="str">
        <f t="shared" si="5"/>
        <v/>
      </c>
      <c r="P38" s="33"/>
    </row>
    <row r="39" ht="15.0" customHeight="1">
      <c r="A39" s="29" t="str">
        <f t="shared" si="1"/>
        <v/>
      </c>
      <c r="B39" s="16"/>
      <c r="C39" s="16"/>
      <c r="D39" s="16"/>
      <c r="E39" s="17"/>
      <c r="F39" s="40"/>
      <c r="G39" s="16"/>
      <c r="H39" s="16"/>
      <c r="I39" s="17">
        <f>IF($A39="",0,SUMIFS('Daily Transactions'!$F$6:$F$500,'Daily Transactions'!$I$6:$I$500,$O39,'Daily Transactions'!$C$6:$C$500,"Expense"))</f>
        <v>0</v>
      </c>
      <c r="J39" s="17" t="str">
        <f t="shared" si="2"/>
        <v/>
      </c>
      <c r="K39" s="29" t="str">
        <f t="shared" si="3"/>
        <v/>
      </c>
      <c r="L39" s="29" t="str">
        <f t="shared" si="4"/>
        <v/>
      </c>
      <c r="M39" s="49" t="str">
        <f>IF($A39="","",IF(I39&gt;=E39,MAXIFS('Daily Transactions'!$A$6:$A$500,'Daily Transactions'!$I$6:$I$500,$O39,'Daily Transactions'!$C$6:$C$500,"Expense"),""))</f>
        <v/>
      </c>
      <c r="N39" s="16"/>
      <c r="O39" s="26" t="str">
        <f t="shared" si="5"/>
        <v/>
      </c>
      <c r="P39" s="16"/>
    </row>
    <row r="40" ht="15.0" customHeight="1">
      <c r="A40" s="60" t="str">
        <f t="shared" si="1"/>
        <v/>
      </c>
      <c r="B40" s="33"/>
      <c r="C40" s="33"/>
      <c r="D40" s="33"/>
      <c r="E40" s="61"/>
      <c r="F40" s="32"/>
      <c r="G40" s="33"/>
      <c r="H40" s="33"/>
      <c r="I40" s="61">
        <f>IF($A40="",0,SUMIFS('Daily Transactions'!$F$6:$F$500,'Daily Transactions'!$I$6:$I$500,$O40,'Daily Transactions'!$C$6:$C$500,"Expense"))</f>
        <v>0</v>
      </c>
      <c r="J40" s="61" t="str">
        <f t="shared" si="2"/>
        <v/>
      </c>
      <c r="K40" s="60" t="str">
        <f t="shared" si="3"/>
        <v/>
      </c>
      <c r="L40" s="60" t="str">
        <f t="shared" si="4"/>
        <v/>
      </c>
      <c r="M40" s="56" t="str">
        <f>IF($A40="","",IF(I40&gt;=E40,MAXIFS('Daily Transactions'!$A$6:$A$500,'Daily Transactions'!$I$6:$I$500,$O40,'Daily Transactions'!$C$6:$C$500,"Expense"),""))</f>
        <v/>
      </c>
      <c r="N40" s="33"/>
      <c r="O40" s="26" t="str">
        <f t="shared" si="5"/>
        <v/>
      </c>
      <c r="P40" s="33"/>
    </row>
    <row r="41" ht="15.0" customHeight="1">
      <c r="A41" s="29" t="str">
        <f t="shared" si="1"/>
        <v/>
      </c>
      <c r="B41" s="16"/>
      <c r="C41" s="16"/>
      <c r="D41" s="16"/>
      <c r="E41" s="17"/>
      <c r="F41" s="40"/>
      <c r="G41" s="16"/>
      <c r="H41" s="16"/>
      <c r="I41" s="17">
        <f>IF($A41="",0,SUMIFS('Daily Transactions'!$F$6:$F$500,'Daily Transactions'!$I$6:$I$500,$O41,'Daily Transactions'!$C$6:$C$500,"Expense"))</f>
        <v>0</v>
      </c>
      <c r="J41" s="17" t="str">
        <f t="shared" si="2"/>
        <v/>
      </c>
      <c r="K41" s="29" t="str">
        <f t="shared" si="3"/>
        <v/>
      </c>
      <c r="L41" s="29" t="str">
        <f t="shared" si="4"/>
        <v/>
      </c>
      <c r="M41" s="49" t="str">
        <f>IF($A41="","",IF(I41&gt;=E41,MAXIFS('Daily Transactions'!$A$6:$A$500,'Daily Transactions'!$I$6:$I$500,$O41,'Daily Transactions'!$C$6:$C$500,"Expense"),""))</f>
        <v/>
      </c>
      <c r="N41" s="16"/>
      <c r="O41" s="26" t="str">
        <f t="shared" si="5"/>
        <v/>
      </c>
      <c r="P41" s="16"/>
    </row>
    <row r="42" ht="15.0" customHeight="1">
      <c r="A42" s="60" t="str">
        <f t="shared" si="1"/>
        <v/>
      </c>
      <c r="B42" s="33"/>
      <c r="C42" s="33"/>
      <c r="D42" s="33"/>
      <c r="E42" s="61"/>
      <c r="F42" s="32"/>
      <c r="G42" s="33"/>
      <c r="H42" s="33"/>
      <c r="I42" s="61">
        <f>IF($A42="",0,SUMIFS('Daily Transactions'!$F$6:$F$500,'Daily Transactions'!$I$6:$I$500,$O42,'Daily Transactions'!$C$6:$C$500,"Expense"))</f>
        <v>0</v>
      </c>
      <c r="J42" s="61" t="str">
        <f t="shared" si="2"/>
        <v/>
      </c>
      <c r="K42" s="60" t="str">
        <f t="shared" si="3"/>
        <v/>
      </c>
      <c r="L42" s="60" t="str">
        <f t="shared" si="4"/>
        <v/>
      </c>
      <c r="M42" s="56" t="str">
        <f>IF($A42="","",IF(I42&gt;=E42,MAXIFS('Daily Transactions'!$A$6:$A$500,'Daily Transactions'!$I$6:$I$500,$O42,'Daily Transactions'!$C$6:$C$500,"Expense"),""))</f>
        <v/>
      </c>
      <c r="N42" s="33"/>
      <c r="O42" s="26" t="str">
        <f t="shared" si="5"/>
        <v/>
      </c>
      <c r="P42" s="33"/>
    </row>
    <row r="43" ht="15.0" customHeight="1">
      <c r="A43" s="29" t="str">
        <f t="shared" si="1"/>
        <v/>
      </c>
      <c r="B43" s="16"/>
      <c r="C43" s="16"/>
      <c r="D43" s="16"/>
      <c r="E43" s="17"/>
      <c r="F43" s="40"/>
      <c r="G43" s="16"/>
      <c r="H43" s="16"/>
      <c r="I43" s="17">
        <f>IF($A43="",0,SUMIFS('Daily Transactions'!$F$6:$F$500,'Daily Transactions'!$I$6:$I$500,$O43,'Daily Transactions'!$C$6:$C$500,"Expense"))</f>
        <v>0</v>
      </c>
      <c r="J43" s="17" t="str">
        <f t="shared" si="2"/>
        <v/>
      </c>
      <c r="K43" s="29" t="str">
        <f t="shared" si="3"/>
        <v/>
      </c>
      <c r="L43" s="29" t="str">
        <f t="shared" si="4"/>
        <v/>
      </c>
      <c r="M43" s="49" t="str">
        <f>IF($A43="","",IF(I43&gt;=E43,MAXIFS('Daily Transactions'!$A$6:$A$500,'Daily Transactions'!$I$6:$I$500,$O43,'Daily Transactions'!$C$6:$C$500,"Expense"),""))</f>
        <v/>
      </c>
      <c r="N43" s="16"/>
      <c r="O43" s="26" t="str">
        <f t="shared" si="5"/>
        <v/>
      </c>
      <c r="P43" s="16"/>
    </row>
    <row r="44" ht="15.0" customHeight="1">
      <c r="A44" s="60" t="str">
        <f t="shared" si="1"/>
        <v/>
      </c>
      <c r="B44" s="33"/>
      <c r="C44" s="33"/>
      <c r="D44" s="33"/>
      <c r="E44" s="61"/>
      <c r="F44" s="32"/>
      <c r="G44" s="33"/>
      <c r="H44" s="33"/>
      <c r="I44" s="61">
        <f>IF($A44="",0,SUMIFS('Daily Transactions'!$F$6:$F$500,'Daily Transactions'!$I$6:$I$500,$O44,'Daily Transactions'!$C$6:$C$500,"Expense"))</f>
        <v>0</v>
      </c>
      <c r="J44" s="61" t="str">
        <f t="shared" si="2"/>
        <v/>
      </c>
      <c r="K44" s="60" t="str">
        <f t="shared" si="3"/>
        <v/>
      </c>
      <c r="L44" s="60" t="str">
        <f t="shared" si="4"/>
        <v/>
      </c>
      <c r="M44" s="56" t="str">
        <f>IF($A44="","",IF(I44&gt;=E44,MAXIFS('Daily Transactions'!$A$6:$A$500,'Daily Transactions'!$I$6:$I$500,$O44,'Daily Transactions'!$C$6:$C$500,"Expense"),""))</f>
        <v/>
      </c>
      <c r="N44" s="33"/>
      <c r="O44" s="26" t="str">
        <f t="shared" si="5"/>
        <v/>
      </c>
      <c r="P44" s="33"/>
    </row>
    <row r="45" ht="15.0" customHeight="1">
      <c r="A45" s="29" t="str">
        <f t="shared" si="1"/>
        <v/>
      </c>
      <c r="B45" s="16"/>
      <c r="C45" s="16"/>
      <c r="D45" s="16"/>
      <c r="E45" s="17"/>
      <c r="F45" s="40"/>
      <c r="G45" s="16"/>
      <c r="H45" s="16"/>
      <c r="I45" s="17">
        <f>IF($A45="",0,SUMIFS('Daily Transactions'!$F$6:$F$500,'Daily Transactions'!$I$6:$I$500,$O45,'Daily Transactions'!$C$6:$C$500,"Expense"))</f>
        <v>0</v>
      </c>
      <c r="J45" s="17" t="str">
        <f t="shared" si="2"/>
        <v/>
      </c>
      <c r="K45" s="29" t="str">
        <f t="shared" si="3"/>
        <v/>
      </c>
      <c r="L45" s="29" t="str">
        <f t="shared" si="4"/>
        <v/>
      </c>
      <c r="M45" s="49" t="str">
        <f>IF($A45="","",IF(I45&gt;=E45,MAXIFS('Daily Transactions'!$A$6:$A$500,'Daily Transactions'!$I$6:$I$500,$O45,'Daily Transactions'!$C$6:$C$500,"Expense"),""))</f>
        <v/>
      </c>
      <c r="N45" s="16"/>
      <c r="O45" s="26" t="str">
        <f t="shared" si="5"/>
        <v/>
      </c>
      <c r="P45" s="16"/>
    </row>
    <row r="46" ht="15.0" customHeight="1">
      <c r="A46" s="60" t="str">
        <f t="shared" si="1"/>
        <v/>
      </c>
      <c r="B46" s="33"/>
      <c r="C46" s="33"/>
      <c r="D46" s="33"/>
      <c r="E46" s="61"/>
      <c r="F46" s="32"/>
      <c r="G46" s="33"/>
      <c r="H46" s="33"/>
      <c r="I46" s="61">
        <f>IF($A46="",0,SUMIFS('Daily Transactions'!$F$6:$F$500,'Daily Transactions'!$I$6:$I$500,$O46,'Daily Transactions'!$C$6:$C$500,"Expense"))</f>
        <v>0</v>
      </c>
      <c r="J46" s="61" t="str">
        <f t="shared" si="2"/>
        <v/>
      </c>
      <c r="K46" s="60" t="str">
        <f t="shared" si="3"/>
        <v/>
      </c>
      <c r="L46" s="60" t="str">
        <f t="shared" si="4"/>
        <v/>
      </c>
      <c r="M46" s="56" t="str">
        <f>IF($A46="","",IF(I46&gt;=E46,MAXIFS('Daily Transactions'!$A$6:$A$500,'Daily Transactions'!$I$6:$I$500,$O46,'Daily Transactions'!$C$6:$C$500,"Expense"),""))</f>
        <v/>
      </c>
      <c r="N46" s="33"/>
      <c r="O46" s="26" t="str">
        <f t="shared" si="5"/>
        <v/>
      </c>
      <c r="P46" s="33"/>
    </row>
    <row r="47" ht="15.0" customHeight="1">
      <c r="A47" s="29" t="str">
        <f t="shared" si="1"/>
        <v/>
      </c>
      <c r="B47" s="16"/>
      <c r="C47" s="16"/>
      <c r="D47" s="16"/>
      <c r="E47" s="17"/>
      <c r="F47" s="40"/>
      <c r="G47" s="16"/>
      <c r="H47" s="16"/>
      <c r="I47" s="17">
        <f>IF($A47="",0,SUMIFS('Daily Transactions'!$F$6:$F$500,'Daily Transactions'!$I$6:$I$500,$O47,'Daily Transactions'!$C$6:$C$500,"Expense"))</f>
        <v>0</v>
      </c>
      <c r="J47" s="17" t="str">
        <f t="shared" si="2"/>
        <v/>
      </c>
      <c r="K47" s="29" t="str">
        <f t="shared" si="3"/>
        <v/>
      </c>
      <c r="L47" s="29" t="str">
        <f t="shared" si="4"/>
        <v/>
      </c>
      <c r="M47" s="49" t="str">
        <f>IF($A47="","",IF(I47&gt;=E47,MAXIFS('Daily Transactions'!$A$6:$A$500,'Daily Transactions'!$I$6:$I$500,$O47,'Daily Transactions'!$C$6:$C$500,"Expense"),""))</f>
        <v/>
      </c>
      <c r="N47" s="16"/>
      <c r="O47" s="26" t="str">
        <f t="shared" si="5"/>
        <v/>
      </c>
      <c r="P47" s="16"/>
    </row>
    <row r="48" ht="15.0" customHeight="1">
      <c r="A48" s="60" t="str">
        <f t="shared" si="1"/>
        <v/>
      </c>
      <c r="B48" s="33"/>
      <c r="C48" s="33"/>
      <c r="D48" s="33"/>
      <c r="E48" s="61"/>
      <c r="F48" s="32"/>
      <c r="G48" s="33"/>
      <c r="H48" s="33"/>
      <c r="I48" s="61">
        <f>IF($A48="",0,SUMIFS('Daily Transactions'!$F$6:$F$500,'Daily Transactions'!$I$6:$I$500,$O48,'Daily Transactions'!$C$6:$C$500,"Expense"))</f>
        <v>0</v>
      </c>
      <c r="J48" s="61" t="str">
        <f t="shared" si="2"/>
        <v/>
      </c>
      <c r="K48" s="60" t="str">
        <f t="shared" si="3"/>
        <v/>
      </c>
      <c r="L48" s="60" t="str">
        <f t="shared" si="4"/>
        <v/>
      </c>
      <c r="M48" s="56" t="str">
        <f>IF($A48="","",IF(I48&gt;=E48,MAXIFS('Daily Transactions'!$A$6:$A$500,'Daily Transactions'!$I$6:$I$500,$O48,'Daily Transactions'!$C$6:$C$500,"Expense"),""))</f>
        <v/>
      </c>
      <c r="N48" s="33"/>
      <c r="O48" s="26" t="str">
        <f t="shared" si="5"/>
        <v/>
      </c>
      <c r="P48" s="33"/>
    </row>
    <row r="49" ht="15.0" customHeight="1">
      <c r="A49" s="29" t="str">
        <f t="shared" si="1"/>
        <v/>
      </c>
      <c r="B49" s="16"/>
      <c r="C49" s="16"/>
      <c r="D49" s="16"/>
      <c r="E49" s="17"/>
      <c r="F49" s="40"/>
      <c r="G49" s="16"/>
      <c r="H49" s="16"/>
      <c r="I49" s="17">
        <f>IF($A49="",0,SUMIFS('Daily Transactions'!$F$6:$F$500,'Daily Transactions'!$I$6:$I$500,$O49,'Daily Transactions'!$C$6:$C$500,"Expense"))</f>
        <v>0</v>
      </c>
      <c r="J49" s="17" t="str">
        <f t="shared" si="2"/>
        <v/>
      </c>
      <c r="K49" s="29" t="str">
        <f t="shared" si="3"/>
        <v/>
      </c>
      <c r="L49" s="29" t="str">
        <f t="shared" si="4"/>
        <v/>
      </c>
      <c r="M49" s="49" t="str">
        <f>IF($A49="","",IF(I49&gt;=E49,MAXIFS('Daily Transactions'!$A$6:$A$500,'Daily Transactions'!$I$6:$I$500,$O49,'Daily Transactions'!$C$6:$C$500,"Expense"),""))</f>
        <v/>
      </c>
      <c r="N49" s="16"/>
      <c r="O49" s="26" t="str">
        <f t="shared" si="5"/>
        <v/>
      </c>
      <c r="P49" s="16"/>
    </row>
    <row r="50" ht="15.0" customHeight="1">
      <c r="A50" s="60" t="str">
        <f t="shared" si="1"/>
        <v/>
      </c>
      <c r="B50" s="33"/>
      <c r="C50" s="33"/>
      <c r="D50" s="33"/>
      <c r="E50" s="61"/>
      <c r="F50" s="32"/>
      <c r="G50" s="33"/>
      <c r="H50" s="33"/>
      <c r="I50" s="61">
        <f>IF($A50="",0,SUMIFS('Daily Transactions'!$F$6:$F$500,'Daily Transactions'!$I$6:$I$500,$O50,'Daily Transactions'!$C$6:$C$500,"Expense"))</f>
        <v>0</v>
      </c>
      <c r="J50" s="61" t="str">
        <f t="shared" si="2"/>
        <v/>
      </c>
      <c r="K50" s="60" t="str">
        <f t="shared" si="3"/>
        <v/>
      </c>
      <c r="L50" s="60" t="str">
        <f t="shared" si="4"/>
        <v/>
      </c>
      <c r="M50" s="56" t="str">
        <f>IF($A50="","",IF(I50&gt;=E50,MAXIFS('Daily Transactions'!$A$6:$A$500,'Daily Transactions'!$I$6:$I$500,$O50,'Daily Transactions'!$C$6:$C$500,"Expense"),""))</f>
        <v/>
      </c>
      <c r="N50" s="33"/>
      <c r="O50" s="26" t="str">
        <f t="shared" si="5"/>
        <v/>
      </c>
      <c r="P50" s="33"/>
    </row>
    <row r="51" ht="15.0" customHeight="1">
      <c r="A51" s="29" t="str">
        <f t="shared" si="1"/>
        <v/>
      </c>
      <c r="B51" s="16"/>
      <c r="C51" s="16"/>
      <c r="D51" s="16"/>
      <c r="E51" s="17"/>
      <c r="F51" s="40"/>
      <c r="G51" s="16"/>
      <c r="H51" s="16"/>
      <c r="I51" s="17">
        <f>IF($A51="",0,SUMIFS('Daily Transactions'!$F$6:$F$500,'Daily Transactions'!$I$6:$I$500,$O51,'Daily Transactions'!$C$6:$C$500,"Expense"))</f>
        <v>0</v>
      </c>
      <c r="J51" s="17" t="str">
        <f t="shared" si="2"/>
        <v/>
      </c>
      <c r="K51" s="29" t="str">
        <f t="shared" si="3"/>
        <v/>
      </c>
      <c r="L51" s="29" t="str">
        <f t="shared" si="4"/>
        <v/>
      </c>
      <c r="M51" s="49" t="str">
        <f>IF($A51="","",IF(I51&gt;=E51,MAXIFS('Daily Transactions'!$A$6:$A$500,'Daily Transactions'!$I$6:$I$500,$O51,'Daily Transactions'!$C$6:$C$500,"Expense"),""))</f>
        <v/>
      </c>
      <c r="N51" s="16"/>
      <c r="O51" s="26" t="str">
        <f t="shared" si="5"/>
        <v/>
      </c>
      <c r="P51" s="16"/>
    </row>
    <row r="52" ht="15.0" customHeight="1">
      <c r="A52" s="60" t="str">
        <f t="shared" si="1"/>
        <v/>
      </c>
      <c r="B52" s="33"/>
      <c r="C52" s="33"/>
      <c r="D52" s="33"/>
      <c r="E52" s="61"/>
      <c r="F52" s="32"/>
      <c r="G52" s="33"/>
      <c r="H52" s="33"/>
      <c r="I52" s="61">
        <f>IF($A52="",0,SUMIFS('Daily Transactions'!$F$6:$F$500,'Daily Transactions'!$I$6:$I$500,$O52,'Daily Transactions'!$C$6:$C$500,"Expense"))</f>
        <v>0</v>
      </c>
      <c r="J52" s="61" t="str">
        <f t="shared" si="2"/>
        <v/>
      </c>
      <c r="K52" s="60" t="str">
        <f t="shared" si="3"/>
        <v/>
      </c>
      <c r="L52" s="60" t="str">
        <f t="shared" si="4"/>
        <v/>
      </c>
      <c r="M52" s="56" t="str">
        <f>IF($A52="","",IF(I52&gt;=E52,MAXIFS('Daily Transactions'!$A$6:$A$500,'Daily Transactions'!$I$6:$I$500,$O52,'Daily Transactions'!$C$6:$C$500,"Expense"),""))</f>
        <v/>
      </c>
      <c r="N52" s="33"/>
      <c r="O52" s="26" t="str">
        <f t="shared" si="5"/>
        <v/>
      </c>
      <c r="P52" s="33"/>
    </row>
    <row r="53" ht="15.0" customHeight="1">
      <c r="A53" s="29" t="str">
        <f t="shared" si="1"/>
        <v/>
      </c>
      <c r="B53" s="16"/>
      <c r="C53" s="16"/>
      <c r="D53" s="16"/>
      <c r="E53" s="17"/>
      <c r="F53" s="40"/>
      <c r="G53" s="16"/>
      <c r="H53" s="16"/>
      <c r="I53" s="17">
        <f>IF($A53="",0,SUMIFS('Daily Transactions'!$F$6:$F$500,'Daily Transactions'!$I$6:$I$500,$O53,'Daily Transactions'!$C$6:$C$500,"Expense"))</f>
        <v>0</v>
      </c>
      <c r="J53" s="17" t="str">
        <f t="shared" si="2"/>
        <v/>
      </c>
      <c r="K53" s="29" t="str">
        <f t="shared" si="3"/>
        <v/>
      </c>
      <c r="L53" s="29" t="str">
        <f t="shared" si="4"/>
        <v/>
      </c>
      <c r="M53" s="49" t="str">
        <f>IF($A53="","",IF(I53&gt;=E53,MAXIFS('Daily Transactions'!$A$6:$A$500,'Daily Transactions'!$I$6:$I$500,$O53,'Daily Transactions'!$C$6:$C$500,"Expense"),""))</f>
        <v/>
      </c>
      <c r="N53" s="16"/>
      <c r="O53" s="26" t="str">
        <f t="shared" si="5"/>
        <v/>
      </c>
      <c r="P53" s="16"/>
    </row>
    <row r="54" ht="15.0" customHeight="1">
      <c r="A54" s="60" t="str">
        <f t="shared" si="1"/>
        <v/>
      </c>
      <c r="B54" s="33"/>
      <c r="C54" s="33"/>
      <c r="D54" s="33"/>
      <c r="E54" s="61"/>
      <c r="F54" s="32"/>
      <c r="G54" s="33"/>
      <c r="H54" s="33"/>
      <c r="I54" s="61">
        <f>IF($A54="",0,SUMIFS('Daily Transactions'!$F$6:$F$500,'Daily Transactions'!$I$6:$I$500,$O54,'Daily Transactions'!$C$6:$C$500,"Expense"))</f>
        <v>0</v>
      </c>
      <c r="J54" s="61" t="str">
        <f t="shared" si="2"/>
        <v/>
      </c>
      <c r="K54" s="60" t="str">
        <f t="shared" si="3"/>
        <v/>
      </c>
      <c r="L54" s="60" t="str">
        <f t="shared" si="4"/>
        <v/>
      </c>
      <c r="M54" s="56" t="str">
        <f>IF($A54="","",IF(I54&gt;=E54,MAXIFS('Daily Transactions'!$A$6:$A$500,'Daily Transactions'!$I$6:$I$500,$O54,'Daily Transactions'!$C$6:$C$500,"Expense"),""))</f>
        <v/>
      </c>
      <c r="N54" s="33"/>
      <c r="O54" s="26" t="str">
        <f t="shared" si="5"/>
        <v/>
      </c>
      <c r="P54" s="33"/>
    </row>
    <row r="55" ht="15.0" customHeight="1">
      <c r="A55" s="29" t="str">
        <f t="shared" si="1"/>
        <v/>
      </c>
      <c r="B55" s="16"/>
      <c r="C55" s="16"/>
      <c r="D55" s="16"/>
      <c r="E55" s="17"/>
      <c r="F55" s="40"/>
      <c r="G55" s="16"/>
      <c r="H55" s="16"/>
      <c r="I55" s="17">
        <f>IF($A55="",0,SUMIFS('Daily Transactions'!$F$6:$F$500,'Daily Transactions'!$I$6:$I$500,$O55,'Daily Transactions'!$C$6:$C$500,"Expense"))</f>
        <v>0</v>
      </c>
      <c r="J55" s="17" t="str">
        <f t="shared" si="2"/>
        <v/>
      </c>
      <c r="K55" s="29" t="str">
        <f t="shared" si="3"/>
        <v/>
      </c>
      <c r="L55" s="29" t="str">
        <f t="shared" si="4"/>
        <v/>
      </c>
      <c r="M55" s="49" t="str">
        <f>IF($A55="","",IF(I55&gt;=E55,MAXIFS('Daily Transactions'!$A$6:$A$500,'Daily Transactions'!$I$6:$I$500,$O55,'Daily Transactions'!$C$6:$C$500,"Expense"),""))</f>
        <v/>
      </c>
      <c r="N55" s="16"/>
      <c r="O55" s="26" t="str">
        <f t="shared" si="5"/>
        <v/>
      </c>
      <c r="P55" s="16"/>
    </row>
    <row r="56" ht="15.0" customHeight="1">
      <c r="A56" s="60" t="str">
        <f t="shared" si="1"/>
        <v/>
      </c>
      <c r="B56" s="33"/>
      <c r="C56" s="33"/>
      <c r="D56" s="33"/>
      <c r="E56" s="61"/>
      <c r="F56" s="32"/>
      <c r="G56" s="33"/>
      <c r="H56" s="33"/>
      <c r="I56" s="61">
        <f>IF($A56="",0,SUMIFS('Daily Transactions'!$F$6:$F$500,'Daily Transactions'!$I$6:$I$500,$O56,'Daily Transactions'!$C$6:$C$500,"Expense"))</f>
        <v>0</v>
      </c>
      <c r="J56" s="61" t="str">
        <f t="shared" si="2"/>
        <v/>
      </c>
      <c r="K56" s="60" t="str">
        <f t="shared" si="3"/>
        <v/>
      </c>
      <c r="L56" s="60" t="str">
        <f t="shared" si="4"/>
        <v/>
      </c>
      <c r="M56" s="56" t="str">
        <f>IF($A56="","",IF(I56&gt;=E56,MAXIFS('Daily Transactions'!$A$6:$A$500,'Daily Transactions'!$I$6:$I$500,$O56,'Daily Transactions'!$C$6:$C$500,"Expense"),""))</f>
        <v/>
      </c>
      <c r="N56" s="33"/>
      <c r="O56" s="26" t="str">
        <f t="shared" si="5"/>
        <v/>
      </c>
      <c r="P56" s="33"/>
    </row>
    <row r="57" ht="15.0" customHeight="1">
      <c r="A57" s="29" t="str">
        <f t="shared" si="1"/>
        <v/>
      </c>
      <c r="B57" s="16"/>
      <c r="C57" s="16"/>
      <c r="D57" s="16"/>
      <c r="E57" s="17"/>
      <c r="F57" s="40"/>
      <c r="G57" s="16"/>
      <c r="H57" s="16"/>
      <c r="I57" s="17">
        <f>IF($A57="",0,SUMIFS('Daily Transactions'!$F$6:$F$500,'Daily Transactions'!$I$6:$I$500,$O57,'Daily Transactions'!$C$6:$C$500,"Expense"))</f>
        <v>0</v>
      </c>
      <c r="J57" s="17" t="str">
        <f t="shared" si="2"/>
        <v/>
      </c>
      <c r="K57" s="29" t="str">
        <f t="shared" si="3"/>
        <v/>
      </c>
      <c r="L57" s="29" t="str">
        <f t="shared" si="4"/>
        <v/>
      </c>
      <c r="M57" s="49" t="str">
        <f>IF($A57="","",IF(I57&gt;=E57,MAXIFS('Daily Transactions'!$A$6:$A$500,'Daily Transactions'!$I$6:$I$500,$O57,'Daily Transactions'!$C$6:$C$500,"Expense"),""))</f>
        <v/>
      </c>
      <c r="N57" s="16"/>
      <c r="O57" s="26" t="str">
        <f t="shared" si="5"/>
        <v/>
      </c>
      <c r="P57" s="16"/>
    </row>
    <row r="58" ht="15.0" customHeight="1">
      <c r="A58" s="60" t="str">
        <f t="shared" si="1"/>
        <v/>
      </c>
      <c r="B58" s="33"/>
      <c r="C58" s="33"/>
      <c r="D58" s="33"/>
      <c r="E58" s="61"/>
      <c r="F58" s="32"/>
      <c r="G58" s="33"/>
      <c r="H58" s="33"/>
      <c r="I58" s="61">
        <f>IF($A58="",0,SUMIFS('Daily Transactions'!$F$6:$F$500,'Daily Transactions'!$I$6:$I$500,$O58,'Daily Transactions'!$C$6:$C$500,"Expense"))</f>
        <v>0</v>
      </c>
      <c r="J58" s="61" t="str">
        <f t="shared" si="2"/>
        <v/>
      </c>
      <c r="K58" s="60" t="str">
        <f t="shared" si="3"/>
        <v/>
      </c>
      <c r="L58" s="60" t="str">
        <f t="shared" si="4"/>
        <v/>
      </c>
      <c r="M58" s="56" t="str">
        <f>IF($A58="","",IF(I58&gt;=E58,MAXIFS('Daily Transactions'!$A$6:$A$500,'Daily Transactions'!$I$6:$I$500,$O58,'Daily Transactions'!$C$6:$C$500,"Expense"),""))</f>
        <v/>
      </c>
      <c r="N58" s="33"/>
      <c r="O58" s="26" t="str">
        <f t="shared" si="5"/>
        <v/>
      </c>
      <c r="P58" s="33"/>
    </row>
    <row r="59" ht="15.0" customHeight="1">
      <c r="A59" s="29" t="str">
        <f t="shared" si="1"/>
        <v/>
      </c>
      <c r="B59" s="16"/>
      <c r="C59" s="16"/>
      <c r="D59" s="16"/>
      <c r="E59" s="17"/>
      <c r="F59" s="40"/>
      <c r="G59" s="16"/>
      <c r="H59" s="16"/>
      <c r="I59" s="17">
        <f>IF($A59="",0,SUMIFS('Daily Transactions'!$F$6:$F$500,'Daily Transactions'!$I$6:$I$500,$O59,'Daily Transactions'!$C$6:$C$500,"Expense"))</f>
        <v>0</v>
      </c>
      <c r="J59" s="17" t="str">
        <f t="shared" si="2"/>
        <v/>
      </c>
      <c r="K59" s="29" t="str">
        <f t="shared" si="3"/>
        <v/>
      </c>
      <c r="L59" s="29" t="str">
        <f t="shared" si="4"/>
        <v/>
      </c>
      <c r="M59" s="49" t="str">
        <f>IF($A59="","",IF(I59&gt;=E59,MAXIFS('Daily Transactions'!$A$6:$A$500,'Daily Transactions'!$I$6:$I$500,$O59,'Daily Transactions'!$C$6:$C$500,"Expense"),""))</f>
        <v/>
      </c>
      <c r="N59" s="16"/>
      <c r="O59" s="26" t="str">
        <f t="shared" si="5"/>
        <v/>
      </c>
      <c r="P59" s="16"/>
    </row>
    <row r="60" ht="15.0" customHeight="1">
      <c r="A60" s="60" t="str">
        <f t="shared" si="1"/>
        <v/>
      </c>
      <c r="B60" s="33"/>
      <c r="C60" s="33"/>
      <c r="D60" s="33"/>
      <c r="E60" s="61"/>
      <c r="F60" s="32"/>
      <c r="G60" s="33"/>
      <c r="H60" s="33"/>
      <c r="I60" s="61">
        <f>IF($A60="",0,SUMIFS('Daily Transactions'!$F$6:$F$500,'Daily Transactions'!$I$6:$I$500,$O60,'Daily Transactions'!$C$6:$C$500,"Expense"))</f>
        <v>0</v>
      </c>
      <c r="J60" s="61" t="str">
        <f t="shared" si="2"/>
        <v/>
      </c>
      <c r="K60" s="60" t="str">
        <f t="shared" si="3"/>
        <v/>
      </c>
      <c r="L60" s="60" t="str">
        <f t="shared" si="4"/>
        <v/>
      </c>
      <c r="M60" s="56" t="str">
        <f>IF($A60="","",IF(I60&gt;=E60,MAXIFS('Daily Transactions'!$A$6:$A$500,'Daily Transactions'!$I$6:$I$500,$O60,'Daily Transactions'!$C$6:$C$500,"Expense"),""))</f>
        <v/>
      </c>
      <c r="N60" s="33"/>
      <c r="O60" s="26" t="str">
        <f t="shared" si="5"/>
        <v/>
      </c>
      <c r="P60" s="33"/>
    </row>
    <row r="61" ht="15.0" customHeight="1">
      <c r="A61" s="29" t="str">
        <f t="shared" si="1"/>
        <v/>
      </c>
      <c r="B61" s="16"/>
      <c r="C61" s="16"/>
      <c r="D61" s="16"/>
      <c r="E61" s="17"/>
      <c r="F61" s="40"/>
      <c r="G61" s="16"/>
      <c r="H61" s="16"/>
      <c r="I61" s="17">
        <f>IF($A61="",0,SUMIFS('Daily Transactions'!$F$6:$F$500,'Daily Transactions'!$I$6:$I$500,$O61,'Daily Transactions'!$C$6:$C$500,"Expense"))</f>
        <v>0</v>
      </c>
      <c r="J61" s="17" t="str">
        <f t="shared" si="2"/>
        <v/>
      </c>
      <c r="K61" s="29" t="str">
        <f t="shared" si="3"/>
        <v/>
      </c>
      <c r="L61" s="29" t="str">
        <f t="shared" si="4"/>
        <v/>
      </c>
      <c r="M61" s="49" t="str">
        <f>IF($A61="","",IF(I61&gt;=E61,MAXIFS('Daily Transactions'!$A$6:$A$500,'Daily Transactions'!$I$6:$I$500,$O61,'Daily Transactions'!$C$6:$C$500,"Expense"),""))</f>
        <v/>
      </c>
      <c r="N61" s="16"/>
      <c r="O61" s="26" t="str">
        <f t="shared" si="5"/>
        <v/>
      </c>
      <c r="P61" s="16"/>
    </row>
    <row r="62" ht="15.0" customHeight="1">
      <c r="A62" s="60" t="str">
        <f t="shared" si="1"/>
        <v/>
      </c>
      <c r="B62" s="33"/>
      <c r="C62" s="33"/>
      <c r="D62" s="33"/>
      <c r="E62" s="61"/>
      <c r="F62" s="32"/>
      <c r="G62" s="33"/>
      <c r="H62" s="33"/>
      <c r="I62" s="61">
        <f>IF($A62="",0,SUMIFS('Daily Transactions'!$F$6:$F$500,'Daily Transactions'!$I$6:$I$500,$O62,'Daily Transactions'!$C$6:$C$500,"Expense"))</f>
        <v>0</v>
      </c>
      <c r="J62" s="61" t="str">
        <f t="shared" si="2"/>
        <v/>
      </c>
      <c r="K62" s="60" t="str">
        <f t="shared" si="3"/>
        <v/>
      </c>
      <c r="L62" s="60" t="str">
        <f t="shared" si="4"/>
        <v/>
      </c>
      <c r="M62" s="56" t="str">
        <f>IF($A62="","",IF(I62&gt;=E62,MAXIFS('Daily Transactions'!$A$6:$A$500,'Daily Transactions'!$I$6:$I$500,$O62,'Daily Transactions'!$C$6:$C$500,"Expense"),""))</f>
        <v/>
      </c>
      <c r="N62" s="33"/>
      <c r="O62" s="26" t="str">
        <f t="shared" si="5"/>
        <v/>
      </c>
      <c r="P62" s="33"/>
    </row>
    <row r="63" ht="15.0" customHeight="1">
      <c r="A63" s="29" t="str">
        <f t="shared" si="1"/>
        <v/>
      </c>
      <c r="B63" s="16"/>
      <c r="C63" s="16"/>
      <c r="D63" s="16"/>
      <c r="E63" s="17"/>
      <c r="F63" s="40"/>
      <c r="G63" s="16"/>
      <c r="H63" s="16"/>
      <c r="I63" s="17">
        <f>IF($A63="",0,SUMIFS('Daily Transactions'!$F$6:$F$500,'Daily Transactions'!$I$6:$I$500,$O63,'Daily Transactions'!$C$6:$C$500,"Expense"))</f>
        <v>0</v>
      </c>
      <c r="J63" s="17" t="str">
        <f t="shared" si="2"/>
        <v/>
      </c>
      <c r="K63" s="29" t="str">
        <f t="shared" si="3"/>
        <v/>
      </c>
      <c r="L63" s="29" t="str">
        <f t="shared" si="4"/>
        <v/>
      </c>
      <c r="M63" s="49" t="str">
        <f>IF($A63="","",IF(I63&gt;=E63,MAXIFS('Daily Transactions'!$A$6:$A$500,'Daily Transactions'!$I$6:$I$500,$O63,'Daily Transactions'!$C$6:$C$500,"Expense"),""))</f>
        <v/>
      </c>
      <c r="N63" s="16"/>
      <c r="O63" s="26" t="str">
        <f t="shared" si="5"/>
        <v/>
      </c>
      <c r="P63" s="16"/>
    </row>
    <row r="64" ht="15.0" customHeight="1">
      <c r="A64" s="60" t="str">
        <f t="shared" si="1"/>
        <v/>
      </c>
      <c r="B64" s="33"/>
      <c r="C64" s="33"/>
      <c r="D64" s="33"/>
      <c r="E64" s="61"/>
      <c r="F64" s="32"/>
      <c r="G64" s="33"/>
      <c r="H64" s="33"/>
      <c r="I64" s="61">
        <f>IF($A64="",0,SUMIFS('Daily Transactions'!$F$6:$F$500,'Daily Transactions'!$I$6:$I$500,$O64,'Daily Transactions'!$C$6:$C$500,"Expense"))</f>
        <v>0</v>
      </c>
      <c r="J64" s="61" t="str">
        <f t="shared" si="2"/>
        <v/>
      </c>
      <c r="K64" s="60" t="str">
        <f t="shared" si="3"/>
        <v/>
      </c>
      <c r="L64" s="60" t="str">
        <f t="shared" si="4"/>
        <v/>
      </c>
      <c r="M64" s="56" t="str">
        <f>IF($A64="","",IF(I64&gt;=E64,MAXIFS('Daily Transactions'!$A$6:$A$500,'Daily Transactions'!$I$6:$I$500,$O64,'Daily Transactions'!$C$6:$C$500,"Expense"),""))</f>
        <v/>
      </c>
      <c r="N64" s="33"/>
      <c r="O64" s="26" t="str">
        <f t="shared" si="5"/>
        <v/>
      </c>
      <c r="P64" s="33"/>
    </row>
    <row r="65" ht="15.0" customHeight="1">
      <c r="A65" s="29" t="str">
        <f t="shared" si="1"/>
        <v/>
      </c>
      <c r="B65" s="16"/>
      <c r="C65" s="16"/>
      <c r="D65" s="16"/>
      <c r="E65" s="17"/>
      <c r="F65" s="40"/>
      <c r="G65" s="16"/>
      <c r="H65" s="16"/>
      <c r="I65" s="17">
        <f>IF($A65="",0,SUMIFS('Daily Transactions'!$F$6:$F$500,'Daily Transactions'!$I$6:$I$500,$O65,'Daily Transactions'!$C$6:$C$500,"Expense"))</f>
        <v>0</v>
      </c>
      <c r="J65" s="17" t="str">
        <f t="shared" si="2"/>
        <v/>
      </c>
      <c r="K65" s="29" t="str">
        <f t="shared" si="3"/>
        <v/>
      </c>
      <c r="L65" s="29" t="str">
        <f t="shared" si="4"/>
        <v/>
      </c>
      <c r="M65" s="49" t="str">
        <f>IF($A65="","",IF(I65&gt;=E65,MAXIFS('Daily Transactions'!$A$6:$A$500,'Daily Transactions'!$I$6:$I$500,$O65,'Daily Transactions'!$C$6:$C$500,"Expense"),""))</f>
        <v/>
      </c>
      <c r="N65" s="16"/>
      <c r="O65" s="26" t="str">
        <f t="shared" si="5"/>
        <v/>
      </c>
      <c r="P65" s="16"/>
    </row>
    <row r="66" ht="15.0" customHeight="1">
      <c r="A66" s="60" t="str">
        <f t="shared" si="1"/>
        <v/>
      </c>
      <c r="B66" s="33"/>
      <c r="C66" s="33"/>
      <c r="D66" s="33"/>
      <c r="E66" s="61"/>
      <c r="F66" s="32"/>
      <c r="G66" s="33"/>
      <c r="H66" s="33"/>
      <c r="I66" s="61">
        <f>IF($A66="",0,SUMIFS('Daily Transactions'!$F$6:$F$500,'Daily Transactions'!$I$6:$I$500,$O66,'Daily Transactions'!$C$6:$C$500,"Expense"))</f>
        <v>0</v>
      </c>
      <c r="J66" s="61" t="str">
        <f t="shared" si="2"/>
        <v/>
      </c>
      <c r="K66" s="60" t="str">
        <f t="shared" si="3"/>
        <v/>
      </c>
      <c r="L66" s="60" t="str">
        <f t="shared" si="4"/>
        <v/>
      </c>
      <c r="M66" s="56" t="str">
        <f>IF($A66="","",IF(I66&gt;=E66,MAXIFS('Daily Transactions'!$A$6:$A$500,'Daily Transactions'!$I$6:$I$500,$O66,'Daily Transactions'!$C$6:$C$500,"Expense"),""))</f>
        <v/>
      </c>
      <c r="N66" s="33"/>
      <c r="O66" s="26" t="str">
        <f t="shared" si="5"/>
        <v/>
      </c>
      <c r="P66" s="33"/>
    </row>
    <row r="67" ht="15.0" customHeight="1">
      <c r="A67" s="29" t="str">
        <f t="shared" si="1"/>
        <v/>
      </c>
      <c r="B67" s="16"/>
      <c r="C67" s="16"/>
      <c r="D67" s="16"/>
      <c r="E67" s="17"/>
      <c r="F67" s="40"/>
      <c r="G67" s="16"/>
      <c r="H67" s="16"/>
      <c r="I67" s="17">
        <f>IF($A67="",0,SUMIFS('Daily Transactions'!$F$6:$F$500,'Daily Transactions'!$I$6:$I$500,$O67,'Daily Transactions'!$C$6:$C$500,"Expense"))</f>
        <v>0</v>
      </c>
      <c r="J67" s="17" t="str">
        <f t="shared" si="2"/>
        <v/>
      </c>
      <c r="K67" s="29" t="str">
        <f t="shared" si="3"/>
        <v/>
      </c>
      <c r="L67" s="29" t="str">
        <f t="shared" si="4"/>
        <v/>
      </c>
      <c r="M67" s="49" t="str">
        <f>IF($A67="","",IF(I67&gt;=E67,MAXIFS('Daily Transactions'!$A$6:$A$500,'Daily Transactions'!$I$6:$I$500,$O67,'Daily Transactions'!$C$6:$C$500,"Expense"),""))</f>
        <v/>
      </c>
      <c r="N67" s="16"/>
      <c r="O67" s="26" t="str">
        <f t="shared" si="5"/>
        <v/>
      </c>
      <c r="P67" s="16"/>
    </row>
    <row r="68" ht="15.0" customHeight="1">
      <c r="A68" s="60" t="str">
        <f t="shared" si="1"/>
        <v/>
      </c>
      <c r="B68" s="33"/>
      <c r="C68" s="33"/>
      <c r="D68" s="33"/>
      <c r="E68" s="61"/>
      <c r="F68" s="32"/>
      <c r="G68" s="33"/>
      <c r="H68" s="33"/>
      <c r="I68" s="61">
        <f>IF($A68="",0,SUMIFS('Daily Transactions'!$F$6:$F$500,'Daily Transactions'!$I$6:$I$500,$O68,'Daily Transactions'!$C$6:$C$500,"Expense"))</f>
        <v>0</v>
      </c>
      <c r="J68" s="61" t="str">
        <f t="shared" si="2"/>
        <v/>
      </c>
      <c r="K68" s="60" t="str">
        <f t="shared" si="3"/>
        <v/>
      </c>
      <c r="L68" s="60" t="str">
        <f t="shared" si="4"/>
        <v/>
      </c>
      <c r="M68" s="56" t="str">
        <f>IF($A68="","",IF(I68&gt;=E68,MAXIFS('Daily Transactions'!$A$6:$A$500,'Daily Transactions'!$I$6:$I$500,$O68,'Daily Transactions'!$C$6:$C$500,"Expense"),""))</f>
        <v/>
      </c>
      <c r="N68" s="33"/>
      <c r="O68" s="26" t="str">
        <f t="shared" si="5"/>
        <v/>
      </c>
      <c r="P68" s="33"/>
    </row>
    <row r="69" ht="15.0" customHeight="1">
      <c r="A69" s="29" t="str">
        <f t="shared" si="1"/>
        <v/>
      </c>
      <c r="B69" s="16"/>
      <c r="C69" s="16"/>
      <c r="D69" s="16"/>
      <c r="E69" s="17"/>
      <c r="F69" s="40"/>
      <c r="G69" s="16"/>
      <c r="H69" s="16"/>
      <c r="I69" s="17">
        <f>IF($A69="",0,SUMIFS('Daily Transactions'!$F$6:$F$500,'Daily Transactions'!$I$6:$I$500,$O69,'Daily Transactions'!$C$6:$C$500,"Expense"))</f>
        <v>0</v>
      </c>
      <c r="J69" s="17" t="str">
        <f t="shared" si="2"/>
        <v/>
      </c>
      <c r="K69" s="29" t="str">
        <f t="shared" si="3"/>
        <v/>
      </c>
      <c r="L69" s="29" t="str">
        <f t="shared" si="4"/>
        <v/>
      </c>
      <c r="M69" s="49" t="str">
        <f>IF($A69="","",IF(I69&gt;=E69,MAXIFS('Daily Transactions'!$A$6:$A$500,'Daily Transactions'!$I$6:$I$500,$O69,'Daily Transactions'!$C$6:$C$500,"Expense"),""))</f>
        <v/>
      </c>
      <c r="N69" s="16"/>
      <c r="O69" s="26" t="str">
        <f t="shared" si="5"/>
        <v/>
      </c>
      <c r="P69" s="16"/>
    </row>
    <row r="70" ht="15.0" customHeight="1">
      <c r="A70" s="60" t="str">
        <f t="shared" si="1"/>
        <v/>
      </c>
      <c r="B70" s="33"/>
      <c r="C70" s="33"/>
      <c r="D70" s="33"/>
      <c r="E70" s="61"/>
      <c r="F70" s="32"/>
      <c r="G70" s="33"/>
      <c r="H70" s="33"/>
      <c r="I70" s="61">
        <f>IF($A70="",0,SUMIFS('Daily Transactions'!$F$6:$F$500,'Daily Transactions'!$I$6:$I$500,$O70,'Daily Transactions'!$C$6:$C$500,"Expense"))</f>
        <v>0</v>
      </c>
      <c r="J70" s="61" t="str">
        <f t="shared" si="2"/>
        <v/>
      </c>
      <c r="K70" s="60" t="str">
        <f t="shared" si="3"/>
        <v/>
      </c>
      <c r="L70" s="60" t="str">
        <f t="shared" si="4"/>
        <v/>
      </c>
      <c r="M70" s="56" t="str">
        <f>IF($A70="","",IF(I70&gt;=E70,MAXIFS('Daily Transactions'!$A$6:$A$500,'Daily Transactions'!$I$6:$I$500,$O70,'Daily Transactions'!$C$6:$C$500,"Expense"),""))</f>
        <v/>
      </c>
      <c r="N70" s="33"/>
      <c r="O70" s="26" t="str">
        <f t="shared" si="5"/>
        <v/>
      </c>
      <c r="P70" s="33"/>
    </row>
    <row r="71" ht="15.0" customHeight="1">
      <c r="A71" s="29" t="str">
        <f t="shared" si="1"/>
        <v/>
      </c>
      <c r="B71" s="16"/>
      <c r="C71" s="16"/>
      <c r="D71" s="16"/>
      <c r="E71" s="17"/>
      <c r="F71" s="40"/>
      <c r="G71" s="16"/>
      <c r="H71" s="16"/>
      <c r="I71" s="17">
        <f>IF($A71="",0,SUMIFS('Daily Transactions'!$F$6:$F$500,'Daily Transactions'!$I$6:$I$500,$O71,'Daily Transactions'!$C$6:$C$500,"Expense"))</f>
        <v>0</v>
      </c>
      <c r="J71" s="17" t="str">
        <f t="shared" si="2"/>
        <v/>
      </c>
      <c r="K71" s="29" t="str">
        <f t="shared" si="3"/>
        <v/>
      </c>
      <c r="L71" s="29" t="str">
        <f t="shared" si="4"/>
        <v/>
      </c>
      <c r="M71" s="49" t="str">
        <f>IF($A71="","",IF(I71&gt;=E71,MAXIFS('Daily Transactions'!$A$6:$A$500,'Daily Transactions'!$I$6:$I$500,$O71,'Daily Transactions'!$C$6:$C$500,"Expense"),""))</f>
        <v/>
      </c>
      <c r="N71" s="16"/>
      <c r="O71" s="26" t="str">
        <f t="shared" si="5"/>
        <v/>
      </c>
      <c r="P71" s="16"/>
    </row>
    <row r="72" ht="15.0" customHeight="1">
      <c r="A72" s="60" t="str">
        <f t="shared" si="1"/>
        <v/>
      </c>
      <c r="B72" s="33"/>
      <c r="C72" s="33"/>
      <c r="D72" s="33"/>
      <c r="E72" s="61"/>
      <c r="F72" s="32"/>
      <c r="G72" s="33"/>
      <c r="H72" s="33"/>
      <c r="I72" s="61">
        <f>IF($A72="",0,SUMIFS('Daily Transactions'!$F$6:$F$500,'Daily Transactions'!$I$6:$I$500,$O72,'Daily Transactions'!$C$6:$C$500,"Expense"))</f>
        <v>0</v>
      </c>
      <c r="J72" s="61" t="str">
        <f t="shared" si="2"/>
        <v/>
      </c>
      <c r="K72" s="60" t="str">
        <f t="shared" si="3"/>
        <v/>
      </c>
      <c r="L72" s="60" t="str">
        <f t="shared" si="4"/>
        <v/>
      </c>
      <c r="M72" s="56" t="str">
        <f>IF($A72="","",IF(I72&gt;=E72,MAXIFS('Daily Transactions'!$A$6:$A$500,'Daily Transactions'!$I$6:$I$500,$O72,'Daily Transactions'!$C$6:$C$500,"Expense"),""))</f>
        <v/>
      </c>
      <c r="N72" s="33"/>
      <c r="O72" s="26" t="str">
        <f t="shared" si="5"/>
        <v/>
      </c>
      <c r="P72" s="33"/>
    </row>
    <row r="73" ht="15.0" customHeight="1">
      <c r="A73" s="29" t="str">
        <f t="shared" si="1"/>
        <v/>
      </c>
      <c r="B73" s="16"/>
      <c r="C73" s="16"/>
      <c r="D73" s="16"/>
      <c r="E73" s="17"/>
      <c r="F73" s="40"/>
      <c r="G73" s="16"/>
      <c r="H73" s="16"/>
      <c r="I73" s="17">
        <f>IF($A73="",0,SUMIFS('Daily Transactions'!$F$6:$F$500,'Daily Transactions'!$I$6:$I$500,$O73,'Daily Transactions'!$C$6:$C$500,"Expense"))</f>
        <v>0</v>
      </c>
      <c r="J73" s="17" t="str">
        <f t="shared" si="2"/>
        <v/>
      </c>
      <c r="K73" s="29" t="str">
        <f t="shared" si="3"/>
        <v/>
      </c>
      <c r="L73" s="29" t="str">
        <f t="shared" si="4"/>
        <v/>
      </c>
      <c r="M73" s="49" t="str">
        <f>IF($A73="","",IF(I73&gt;=E73,MAXIFS('Daily Transactions'!$A$6:$A$500,'Daily Transactions'!$I$6:$I$500,$O73,'Daily Transactions'!$C$6:$C$500,"Expense"),""))</f>
        <v/>
      </c>
      <c r="N73" s="16"/>
      <c r="O73" s="26" t="str">
        <f t="shared" si="5"/>
        <v/>
      </c>
      <c r="P73" s="16"/>
    </row>
    <row r="74" ht="15.0" customHeight="1">
      <c r="A74" s="60" t="str">
        <f t="shared" si="1"/>
        <v/>
      </c>
      <c r="B74" s="33"/>
      <c r="C74" s="33"/>
      <c r="D74" s="33"/>
      <c r="E74" s="61"/>
      <c r="F74" s="32"/>
      <c r="G74" s="33"/>
      <c r="H74" s="33"/>
      <c r="I74" s="61">
        <f>IF($A74="",0,SUMIFS('Daily Transactions'!$F$6:$F$500,'Daily Transactions'!$I$6:$I$500,$O74,'Daily Transactions'!$C$6:$C$500,"Expense"))</f>
        <v>0</v>
      </c>
      <c r="J74" s="61" t="str">
        <f t="shared" si="2"/>
        <v/>
      </c>
      <c r="K74" s="60" t="str">
        <f t="shared" si="3"/>
        <v/>
      </c>
      <c r="L74" s="60" t="str">
        <f t="shared" si="4"/>
        <v/>
      </c>
      <c r="M74" s="56" t="str">
        <f>IF($A74="","",IF(I74&gt;=E74,MAXIFS('Daily Transactions'!$A$6:$A$500,'Daily Transactions'!$I$6:$I$500,$O74,'Daily Transactions'!$C$6:$C$500,"Expense"),""))</f>
        <v/>
      </c>
      <c r="N74" s="33"/>
      <c r="O74" s="26" t="str">
        <f t="shared" si="5"/>
        <v/>
      </c>
      <c r="P74" s="33"/>
    </row>
    <row r="75" ht="15.0" customHeight="1">
      <c r="A75" s="29" t="str">
        <f t="shared" si="1"/>
        <v/>
      </c>
      <c r="B75" s="16"/>
      <c r="C75" s="16"/>
      <c r="D75" s="16"/>
      <c r="E75" s="17"/>
      <c r="F75" s="40"/>
      <c r="G75" s="16"/>
      <c r="H75" s="16"/>
      <c r="I75" s="17">
        <f>IF($A75="",0,SUMIFS('Daily Transactions'!$F$6:$F$500,'Daily Transactions'!$I$6:$I$500,$O75,'Daily Transactions'!$C$6:$C$500,"Expense"))</f>
        <v>0</v>
      </c>
      <c r="J75" s="17" t="str">
        <f t="shared" si="2"/>
        <v/>
      </c>
      <c r="K75" s="29" t="str">
        <f t="shared" si="3"/>
        <v/>
      </c>
      <c r="L75" s="29" t="str">
        <f t="shared" si="4"/>
        <v/>
      </c>
      <c r="M75" s="49" t="str">
        <f>IF($A75="","",IF(I75&gt;=E75,MAXIFS('Daily Transactions'!$A$6:$A$500,'Daily Transactions'!$I$6:$I$500,$O75,'Daily Transactions'!$C$6:$C$500,"Expense"),""))</f>
        <v/>
      </c>
      <c r="N75" s="16"/>
      <c r="O75" s="26" t="str">
        <f t="shared" si="5"/>
        <v/>
      </c>
      <c r="P75" s="16"/>
    </row>
    <row r="76" ht="15.0" customHeight="1">
      <c r="A76" s="60" t="str">
        <f t="shared" si="1"/>
        <v/>
      </c>
      <c r="B76" s="33"/>
      <c r="C76" s="33"/>
      <c r="D76" s="33"/>
      <c r="E76" s="61"/>
      <c r="F76" s="32"/>
      <c r="G76" s="33"/>
      <c r="H76" s="33"/>
      <c r="I76" s="61">
        <f>IF($A76="",0,SUMIFS('Daily Transactions'!$F$6:$F$500,'Daily Transactions'!$I$6:$I$500,$O76,'Daily Transactions'!$C$6:$C$500,"Expense"))</f>
        <v>0</v>
      </c>
      <c r="J76" s="61" t="str">
        <f t="shared" si="2"/>
        <v/>
      </c>
      <c r="K76" s="60" t="str">
        <f t="shared" si="3"/>
        <v/>
      </c>
      <c r="L76" s="60" t="str">
        <f t="shared" si="4"/>
        <v/>
      </c>
      <c r="M76" s="56" t="str">
        <f>IF($A76="","",IF(I76&gt;=E76,MAXIFS('Daily Transactions'!$A$6:$A$500,'Daily Transactions'!$I$6:$I$500,$O76,'Daily Transactions'!$C$6:$C$500,"Expense"),""))</f>
        <v/>
      </c>
      <c r="N76" s="33"/>
      <c r="O76" s="26" t="str">
        <f t="shared" si="5"/>
        <v/>
      </c>
      <c r="P76" s="33"/>
    </row>
    <row r="77" ht="15.0" customHeight="1">
      <c r="A77" s="29" t="str">
        <f t="shared" si="1"/>
        <v/>
      </c>
      <c r="B77" s="16"/>
      <c r="C77" s="16"/>
      <c r="D77" s="16"/>
      <c r="E77" s="17"/>
      <c r="F77" s="40"/>
      <c r="G77" s="16"/>
      <c r="H77" s="16"/>
      <c r="I77" s="17">
        <f>IF($A77="",0,SUMIFS('Daily Transactions'!$F$6:$F$500,'Daily Transactions'!$I$6:$I$500,$O77,'Daily Transactions'!$C$6:$C$500,"Expense"))</f>
        <v>0</v>
      </c>
      <c r="J77" s="17" t="str">
        <f t="shared" si="2"/>
        <v/>
      </c>
      <c r="K77" s="29" t="str">
        <f t="shared" si="3"/>
        <v/>
      </c>
      <c r="L77" s="29" t="str">
        <f t="shared" si="4"/>
        <v/>
      </c>
      <c r="M77" s="49" t="str">
        <f>IF($A77="","",IF(I77&gt;=E77,MAXIFS('Daily Transactions'!$A$6:$A$500,'Daily Transactions'!$I$6:$I$500,$O77,'Daily Transactions'!$C$6:$C$500,"Expense"),""))</f>
        <v/>
      </c>
      <c r="N77" s="16"/>
      <c r="O77" s="26" t="str">
        <f t="shared" si="5"/>
        <v/>
      </c>
      <c r="P77" s="16"/>
    </row>
    <row r="78" ht="15.0" customHeight="1">
      <c r="A78" s="60" t="str">
        <f t="shared" si="1"/>
        <v/>
      </c>
      <c r="B78" s="33"/>
      <c r="C78" s="33"/>
      <c r="D78" s="33"/>
      <c r="E78" s="61"/>
      <c r="F78" s="32"/>
      <c r="G78" s="33"/>
      <c r="H78" s="33"/>
      <c r="I78" s="61">
        <f>IF($A78="",0,SUMIFS('Daily Transactions'!$F$6:$F$500,'Daily Transactions'!$I$6:$I$500,$O78,'Daily Transactions'!$C$6:$C$500,"Expense"))</f>
        <v>0</v>
      </c>
      <c r="J78" s="61" t="str">
        <f t="shared" si="2"/>
        <v/>
      </c>
      <c r="K78" s="60" t="str">
        <f t="shared" si="3"/>
        <v/>
      </c>
      <c r="L78" s="60" t="str">
        <f t="shared" si="4"/>
        <v/>
      </c>
      <c r="M78" s="56" t="str">
        <f>IF($A78="","",IF(I78&gt;=E78,MAXIFS('Daily Transactions'!$A$6:$A$500,'Daily Transactions'!$I$6:$I$500,$O78,'Daily Transactions'!$C$6:$C$500,"Expense"),""))</f>
        <v/>
      </c>
      <c r="N78" s="33"/>
      <c r="O78" s="26" t="str">
        <f t="shared" si="5"/>
        <v/>
      </c>
      <c r="P78" s="33"/>
    </row>
    <row r="79" ht="15.0" customHeight="1">
      <c r="A79" s="29" t="str">
        <f t="shared" si="1"/>
        <v/>
      </c>
      <c r="B79" s="16"/>
      <c r="C79" s="16"/>
      <c r="D79" s="16"/>
      <c r="E79" s="17"/>
      <c r="F79" s="40"/>
      <c r="G79" s="16"/>
      <c r="H79" s="16"/>
      <c r="I79" s="17">
        <f>IF($A79="",0,SUMIFS('Daily Transactions'!$F$6:$F$500,'Daily Transactions'!$I$6:$I$500,$O79,'Daily Transactions'!$C$6:$C$500,"Expense"))</f>
        <v>0</v>
      </c>
      <c r="J79" s="17" t="str">
        <f t="shared" si="2"/>
        <v/>
      </c>
      <c r="K79" s="29" t="str">
        <f t="shared" si="3"/>
        <v/>
      </c>
      <c r="L79" s="29" t="str">
        <f t="shared" si="4"/>
        <v/>
      </c>
      <c r="M79" s="49" t="str">
        <f>IF($A79="","",IF(I79&gt;=E79,MAXIFS('Daily Transactions'!$A$6:$A$500,'Daily Transactions'!$I$6:$I$500,$O79,'Daily Transactions'!$C$6:$C$500,"Expense"),""))</f>
        <v/>
      </c>
      <c r="N79" s="16"/>
      <c r="O79" s="26" t="str">
        <f t="shared" si="5"/>
        <v/>
      </c>
      <c r="P79" s="16"/>
    </row>
    <row r="80" ht="15.0" customHeight="1">
      <c r="A80" s="60" t="str">
        <f t="shared" si="1"/>
        <v/>
      </c>
      <c r="B80" s="33"/>
      <c r="C80" s="33"/>
      <c r="D80" s="33"/>
      <c r="E80" s="61"/>
      <c r="F80" s="32"/>
      <c r="G80" s="33"/>
      <c r="H80" s="33"/>
      <c r="I80" s="61">
        <f>IF($A80="",0,SUMIFS('Daily Transactions'!$F$6:$F$500,'Daily Transactions'!$I$6:$I$500,$O80,'Daily Transactions'!$C$6:$C$500,"Expense"))</f>
        <v>0</v>
      </c>
      <c r="J80" s="61" t="str">
        <f t="shared" si="2"/>
        <v/>
      </c>
      <c r="K80" s="60" t="str">
        <f t="shared" si="3"/>
        <v/>
      </c>
      <c r="L80" s="60" t="str">
        <f t="shared" si="4"/>
        <v/>
      </c>
      <c r="M80" s="56" t="str">
        <f>IF($A80="","",IF(I80&gt;=E80,MAXIFS('Daily Transactions'!$A$6:$A$500,'Daily Transactions'!$I$6:$I$500,$O80,'Daily Transactions'!$C$6:$C$500,"Expense"),""))</f>
        <v/>
      </c>
      <c r="N80" s="33"/>
      <c r="O80" s="26" t="str">
        <f t="shared" si="5"/>
        <v/>
      </c>
      <c r="P80" s="33"/>
    </row>
    <row r="81" ht="15.0" customHeight="1">
      <c r="A81" s="29" t="str">
        <f t="shared" si="1"/>
        <v/>
      </c>
      <c r="B81" s="16"/>
      <c r="C81" s="16"/>
      <c r="D81" s="16"/>
      <c r="E81" s="17"/>
      <c r="F81" s="40"/>
      <c r="G81" s="16"/>
      <c r="H81" s="16"/>
      <c r="I81" s="17">
        <f>IF($A81="",0,SUMIFS('Daily Transactions'!$F$6:$F$500,'Daily Transactions'!$I$6:$I$500,$O81,'Daily Transactions'!$C$6:$C$500,"Expense"))</f>
        <v>0</v>
      </c>
      <c r="J81" s="17" t="str">
        <f t="shared" si="2"/>
        <v/>
      </c>
      <c r="K81" s="29" t="str">
        <f t="shared" si="3"/>
        <v/>
      </c>
      <c r="L81" s="29" t="str">
        <f t="shared" si="4"/>
        <v/>
      </c>
      <c r="M81" s="49" t="str">
        <f>IF($A81="","",IF(I81&gt;=E81,MAXIFS('Daily Transactions'!$A$6:$A$500,'Daily Transactions'!$I$6:$I$500,$O81,'Daily Transactions'!$C$6:$C$500,"Expense"),""))</f>
        <v/>
      </c>
      <c r="N81" s="16"/>
      <c r="O81" s="26" t="str">
        <f t="shared" si="5"/>
        <v/>
      </c>
      <c r="P81" s="16"/>
    </row>
    <row r="82" ht="15.0" customHeight="1">
      <c r="A82" s="60" t="str">
        <f t="shared" si="1"/>
        <v/>
      </c>
      <c r="B82" s="33"/>
      <c r="C82" s="33"/>
      <c r="D82" s="33"/>
      <c r="E82" s="61"/>
      <c r="F82" s="32"/>
      <c r="G82" s="33"/>
      <c r="H82" s="33"/>
      <c r="I82" s="61">
        <f>IF($A82="",0,SUMIFS('Daily Transactions'!$F$6:$F$500,'Daily Transactions'!$I$6:$I$500,$O82,'Daily Transactions'!$C$6:$C$500,"Expense"))</f>
        <v>0</v>
      </c>
      <c r="J82" s="61" t="str">
        <f t="shared" si="2"/>
        <v/>
      </c>
      <c r="K82" s="60" t="str">
        <f t="shared" si="3"/>
        <v/>
      </c>
      <c r="L82" s="60" t="str">
        <f t="shared" si="4"/>
        <v/>
      </c>
      <c r="M82" s="56" t="str">
        <f>IF($A82="","",IF(I82&gt;=E82,MAXIFS('Daily Transactions'!$A$6:$A$500,'Daily Transactions'!$I$6:$I$500,$O82,'Daily Transactions'!$C$6:$C$500,"Expense"),""))</f>
        <v/>
      </c>
      <c r="N82" s="33"/>
      <c r="O82" s="26" t="str">
        <f t="shared" si="5"/>
        <v/>
      </c>
      <c r="P82" s="33"/>
    </row>
    <row r="83" ht="15.0" customHeight="1">
      <c r="A83" s="29" t="str">
        <f t="shared" si="1"/>
        <v/>
      </c>
      <c r="B83" s="16"/>
      <c r="C83" s="16"/>
      <c r="D83" s="16"/>
      <c r="E83" s="17"/>
      <c r="F83" s="40"/>
      <c r="G83" s="16"/>
      <c r="H83" s="16"/>
      <c r="I83" s="17">
        <f>IF($A83="",0,SUMIFS('Daily Transactions'!$F$6:$F$500,'Daily Transactions'!$I$6:$I$500,$O83,'Daily Transactions'!$C$6:$C$500,"Expense"))</f>
        <v>0</v>
      </c>
      <c r="J83" s="17" t="str">
        <f t="shared" si="2"/>
        <v/>
      </c>
      <c r="K83" s="29" t="str">
        <f t="shared" si="3"/>
        <v/>
      </c>
      <c r="L83" s="29" t="str">
        <f t="shared" si="4"/>
        <v/>
      </c>
      <c r="M83" s="49" t="str">
        <f>IF($A83="","",IF(I83&gt;=E83,MAXIFS('Daily Transactions'!$A$6:$A$500,'Daily Transactions'!$I$6:$I$500,$O83,'Daily Transactions'!$C$6:$C$500,"Expense"),""))</f>
        <v/>
      </c>
      <c r="N83" s="16"/>
      <c r="O83" s="26" t="str">
        <f t="shared" si="5"/>
        <v/>
      </c>
      <c r="P83" s="16"/>
    </row>
    <row r="84" ht="15.0" customHeight="1">
      <c r="A84" s="60" t="str">
        <f t="shared" si="1"/>
        <v/>
      </c>
      <c r="B84" s="33"/>
      <c r="C84" s="33"/>
      <c r="D84" s="33"/>
      <c r="E84" s="61"/>
      <c r="F84" s="32"/>
      <c r="G84" s="33"/>
      <c r="H84" s="33"/>
      <c r="I84" s="61">
        <f>IF($A84="",0,SUMIFS('Daily Transactions'!$F$6:$F$500,'Daily Transactions'!$I$6:$I$500,$O84,'Daily Transactions'!$C$6:$C$500,"Expense"))</f>
        <v>0</v>
      </c>
      <c r="J84" s="61" t="str">
        <f t="shared" si="2"/>
        <v/>
      </c>
      <c r="K84" s="60" t="str">
        <f t="shared" si="3"/>
        <v/>
      </c>
      <c r="L84" s="60" t="str">
        <f t="shared" si="4"/>
        <v/>
      </c>
      <c r="M84" s="56" t="str">
        <f>IF($A84="","",IF(I84&gt;=E84,MAXIFS('Daily Transactions'!$A$6:$A$500,'Daily Transactions'!$I$6:$I$500,$O84,'Daily Transactions'!$C$6:$C$500,"Expense"),""))</f>
        <v/>
      </c>
      <c r="N84" s="33"/>
      <c r="O84" s="26" t="str">
        <f t="shared" si="5"/>
        <v/>
      </c>
      <c r="P84" s="33"/>
    </row>
    <row r="85" ht="15.0" customHeight="1">
      <c r="A85" s="29" t="str">
        <f t="shared" si="1"/>
        <v/>
      </c>
      <c r="B85" s="16"/>
      <c r="C85" s="16"/>
      <c r="D85" s="16"/>
      <c r="E85" s="17"/>
      <c r="F85" s="40"/>
      <c r="G85" s="16"/>
      <c r="H85" s="16"/>
      <c r="I85" s="17">
        <f>IF($A85="",0,SUMIFS('Daily Transactions'!$F$6:$F$500,'Daily Transactions'!$I$6:$I$500,$O85,'Daily Transactions'!$C$6:$C$500,"Expense"))</f>
        <v>0</v>
      </c>
      <c r="J85" s="17" t="str">
        <f t="shared" si="2"/>
        <v/>
      </c>
      <c r="K85" s="29" t="str">
        <f t="shared" si="3"/>
        <v/>
      </c>
      <c r="L85" s="29" t="str">
        <f t="shared" si="4"/>
        <v/>
      </c>
      <c r="M85" s="49" t="str">
        <f>IF($A85="","",IF(I85&gt;=E85,MAXIFS('Daily Transactions'!$A$6:$A$500,'Daily Transactions'!$I$6:$I$500,$O85,'Daily Transactions'!$C$6:$C$500,"Expense"),""))</f>
        <v/>
      </c>
      <c r="N85" s="16"/>
      <c r="O85" s="26" t="str">
        <f t="shared" si="5"/>
        <v/>
      </c>
      <c r="P85" s="16"/>
    </row>
    <row r="86" ht="15.0" customHeight="1">
      <c r="A86" s="60" t="str">
        <f t="shared" si="1"/>
        <v/>
      </c>
      <c r="B86" s="33"/>
      <c r="C86" s="33"/>
      <c r="D86" s="33"/>
      <c r="E86" s="61"/>
      <c r="F86" s="32"/>
      <c r="G86" s="33"/>
      <c r="H86" s="33"/>
      <c r="I86" s="61">
        <f>IF($A86="",0,SUMIFS('Daily Transactions'!$F$6:$F$500,'Daily Transactions'!$I$6:$I$500,$O86,'Daily Transactions'!$C$6:$C$500,"Expense"))</f>
        <v>0</v>
      </c>
      <c r="J86" s="61" t="str">
        <f t="shared" si="2"/>
        <v/>
      </c>
      <c r="K86" s="60" t="str">
        <f t="shared" si="3"/>
        <v/>
      </c>
      <c r="L86" s="60" t="str">
        <f t="shared" si="4"/>
        <v/>
      </c>
      <c r="M86" s="56" t="str">
        <f>IF($A86="","",IF(I86&gt;=E86,MAXIFS('Daily Transactions'!$A$6:$A$500,'Daily Transactions'!$I$6:$I$500,$O86,'Daily Transactions'!$C$6:$C$500,"Expense"),""))</f>
        <v/>
      </c>
      <c r="N86" s="33"/>
      <c r="O86" s="26" t="str">
        <f t="shared" si="5"/>
        <v/>
      </c>
      <c r="P86" s="33"/>
    </row>
    <row r="87" ht="15.0" customHeight="1">
      <c r="A87" s="29" t="str">
        <f t="shared" si="1"/>
        <v/>
      </c>
      <c r="B87" s="16"/>
      <c r="C87" s="16"/>
      <c r="D87" s="16"/>
      <c r="E87" s="17"/>
      <c r="F87" s="40"/>
      <c r="G87" s="16"/>
      <c r="H87" s="16"/>
      <c r="I87" s="17">
        <f>IF($A87="",0,SUMIFS('Daily Transactions'!$F$6:$F$500,'Daily Transactions'!$I$6:$I$500,$O87,'Daily Transactions'!$C$6:$C$500,"Expense"))</f>
        <v>0</v>
      </c>
      <c r="J87" s="17" t="str">
        <f t="shared" si="2"/>
        <v/>
      </c>
      <c r="K87" s="29" t="str">
        <f t="shared" si="3"/>
        <v/>
      </c>
      <c r="L87" s="29" t="str">
        <f t="shared" si="4"/>
        <v/>
      </c>
      <c r="M87" s="49" t="str">
        <f>IF($A87="","",IF(I87&gt;=E87,MAXIFS('Daily Transactions'!$A$6:$A$500,'Daily Transactions'!$I$6:$I$500,$O87,'Daily Transactions'!$C$6:$C$500,"Expense"),""))</f>
        <v/>
      </c>
      <c r="N87" s="16"/>
      <c r="O87" s="26" t="str">
        <f t="shared" si="5"/>
        <v/>
      </c>
      <c r="P87" s="16"/>
    </row>
    <row r="88" ht="15.0" customHeight="1">
      <c r="A88" s="60" t="str">
        <f t="shared" si="1"/>
        <v/>
      </c>
      <c r="B88" s="33"/>
      <c r="C88" s="33"/>
      <c r="D88" s="33"/>
      <c r="E88" s="61"/>
      <c r="F88" s="32"/>
      <c r="G88" s="33"/>
      <c r="H88" s="33"/>
      <c r="I88" s="61">
        <f>IF($A88="",0,SUMIFS('Daily Transactions'!$F$6:$F$500,'Daily Transactions'!$I$6:$I$500,$O88,'Daily Transactions'!$C$6:$C$500,"Expense"))</f>
        <v>0</v>
      </c>
      <c r="J88" s="61" t="str">
        <f t="shared" si="2"/>
        <v/>
      </c>
      <c r="K88" s="60" t="str">
        <f t="shared" si="3"/>
        <v/>
      </c>
      <c r="L88" s="60" t="str">
        <f t="shared" si="4"/>
        <v/>
      </c>
      <c r="M88" s="56" t="str">
        <f>IF($A88="","",IF(I88&gt;=E88,MAXIFS('Daily Transactions'!$A$6:$A$500,'Daily Transactions'!$I$6:$I$500,$O88,'Daily Transactions'!$C$6:$C$500,"Expense"),""))</f>
        <v/>
      </c>
      <c r="N88" s="33"/>
      <c r="O88" s="26" t="str">
        <f t="shared" si="5"/>
        <v/>
      </c>
      <c r="P88" s="33"/>
    </row>
    <row r="89" ht="15.0" customHeight="1">
      <c r="A89" s="29" t="str">
        <f t="shared" si="1"/>
        <v/>
      </c>
      <c r="B89" s="16"/>
      <c r="C89" s="16"/>
      <c r="D89" s="16"/>
      <c r="E89" s="17"/>
      <c r="F89" s="40"/>
      <c r="G89" s="16"/>
      <c r="H89" s="16"/>
      <c r="I89" s="17">
        <f>IF($A89="",0,SUMIFS('Daily Transactions'!$F$6:$F$500,'Daily Transactions'!$I$6:$I$500,$O89,'Daily Transactions'!$C$6:$C$500,"Expense"))</f>
        <v>0</v>
      </c>
      <c r="J89" s="17" t="str">
        <f t="shared" si="2"/>
        <v/>
      </c>
      <c r="K89" s="29" t="str">
        <f t="shared" si="3"/>
        <v/>
      </c>
      <c r="L89" s="29" t="str">
        <f t="shared" si="4"/>
        <v/>
      </c>
      <c r="M89" s="49" t="str">
        <f>IF($A89="","",IF(I89&gt;=E89,MAXIFS('Daily Transactions'!$A$6:$A$500,'Daily Transactions'!$I$6:$I$500,$O89,'Daily Transactions'!$C$6:$C$500,"Expense"),""))</f>
        <v/>
      </c>
      <c r="N89" s="16"/>
      <c r="O89" s="26" t="str">
        <f t="shared" si="5"/>
        <v/>
      </c>
      <c r="P89" s="16"/>
    </row>
    <row r="90" ht="15.0" customHeight="1">
      <c r="A90" s="60" t="str">
        <f t="shared" si="1"/>
        <v/>
      </c>
      <c r="B90" s="33"/>
      <c r="C90" s="33"/>
      <c r="D90" s="33"/>
      <c r="E90" s="61"/>
      <c r="F90" s="32"/>
      <c r="G90" s="33"/>
      <c r="H90" s="33"/>
      <c r="I90" s="61">
        <f>IF($A90="",0,SUMIFS('Daily Transactions'!$F$6:$F$500,'Daily Transactions'!$I$6:$I$500,$O90,'Daily Transactions'!$C$6:$C$500,"Expense"))</f>
        <v>0</v>
      </c>
      <c r="J90" s="61" t="str">
        <f t="shared" si="2"/>
        <v/>
      </c>
      <c r="K90" s="60" t="str">
        <f t="shared" si="3"/>
        <v/>
      </c>
      <c r="L90" s="60" t="str">
        <f t="shared" si="4"/>
        <v/>
      </c>
      <c r="M90" s="56" t="str">
        <f>IF($A90="","",IF(I90&gt;=E90,MAXIFS('Daily Transactions'!$A$6:$A$500,'Daily Transactions'!$I$6:$I$500,$O90,'Daily Transactions'!$C$6:$C$500,"Expense"),""))</f>
        <v/>
      </c>
      <c r="N90" s="33"/>
      <c r="O90" s="26" t="str">
        <f t="shared" si="5"/>
        <v/>
      </c>
      <c r="P90" s="33"/>
    </row>
    <row r="91" ht="15.0" customHeight="1">
      <c r="A91" s="29" t="str">
        <f t="shared" si="1"/>
        <v/>
      </c>
      <c r="B91" s="16"/>
      <c r="C91" s="16"/>
      <c r="D91" s="16"/>
      <c r="E91" s="17"/>
      <c r="F91" s="40"/>
      <c r="G91" s="16"/>
      <c r="H91" s="16"/>
      <c r="I91" s="17">
        <f>IF($A91="",0,SUMIFS('Daily Transactions'!$F$6:$F$500,'Daily Transactions'!$I$6:$I$500,$O91,'Daily Transactions'!$C$6:$C$500,"Expense"))</f>
        <v>0</v>
      </c>
      <c r="J91" s="17" t="str">
        <f t="shared" si="2"/>
        <v/>
      </c>
      <c r="K91" s="29" t="str">
        <f t="shared" si="3"/>
        <v/>
      </c>
      <c r="L91" s="29" t="str">
        <f t="shared" si="4"/>
        <v/>
      </c>
      <c r="M91" s="49" t="str">
        <f>IF($A91="","",IF(I91&gt;=E91,MAXIFS('Daily Transactions'!$A$6:$A$500,'Daily Transactions'!$I$6:$I$500,$O91,'Daily Transactions'!$C$6:$C$500,"Expense"),""))</f>
        <v/>
      </c>
      <c r="N91" s="16"/>
      <c r="O91" s="26" t="str">
        <f t="shared" si="5"/>
        <v/>
      </c>
      <c r="P91" s="16"/>
    </row>
    <row r="92" ht="15.0" customHeight="1">
      <c r="A92" s="60" t="str">
        <f t="shared" si="1"/>
        <v/>
      </c>
      <c r="B92" s="33"/>
      <c r="C92" s="33"/>
      <c r="D92" s="33"/>
      <c r="E92" s="61"/>
      <c r="F92" s="32"/>
      <c r="G92" s="33"/>
      <c r="H92" s="33"/>
      <c r="I92" s="61">
        <f>IF($A92="",0,SUMIFS('Daily Transactions'!$F$6:$F$500,'Daily Transactions'!$I$6:$I$500,$O92,'Daily Transactions'!$C$6:$C$500,"Expense"))</f>
        <v>0</v>
      </c>
      <c r="J92" s="61" t="str">
        <f t="shared" si="2"/>
        <v/>
      </c>
      <c r="K92" s="60" t="str">
        <f t="shared" si="3"/>
        <v/>
      </c>
      <c r="L92" s="60" t="str">
        <f t="shared" si="4"/>
        <v/>
      </c>
      <c r="M92" s="56" t="str">
        <f>IF($A92="","",IF(I92&gt;=E92,MAXIFS('Daily Transactions'!$A$6:$A$500,'Daily Transactions'!$I$6:$I$500,$O92,'Daily Transactions'!$C$6:$C$500,"Expense"),""))</f>
        <v/>
      </c>
      <c r="N92" s="33"/>
      <c r="O92" s="26" t="str">
        <f t="shared" si="5"/>
        <v/>
      </c>
      <c r="P92" s="33"/>
    </row>
    <row r="93" ht="15.0" customHeight="1">
      <c r="A93" s="29" t="str">
        <f t="shared" si="1"/>
        <v/>
      </c>
      <c r="B93" s="16"/>
      <c r="C93" s="16"/>
      <c r="D93" s="16"/>
      <c r="E93" s="17"/>
      <c r="F93" s="40"/>
      <c r="G93" s="16"/>
      <c r="H93" s="16"/>
      <c r="I93" s="17">
        <f>IF($A93="",0,SUMIFS('Daily Transactions'!$F$6:$F$500,'Daily Transactions'!$I$6:$I$500,$O93,'Daily Transactions'!$C$6:$C$500,"Expense"))</f>
        <v>0</v>
      </c>
      <c r="J93" s="17" t="str">
        <f t="shared" si="2"/>
        <v/>
      </c>
      <c r="K93" s="29" t="str">
        <f t="shared" si="3"/>
        <v/>
      </c>
      <c r="L93" s="29" t="str">
        <f t="shared" si="4"/>
        <v/>
      </c>
      <c r="M93" s="49" t="str">
        <f>IF($A93="","",IF(I93&gt;=E93,MAXIFS('Daily Transactions'!$A$6:$A$500,'Daily Transactions'!$I$6:$I$500,$O93,'Daily Transactions'!$C$6:$C$500,"Expense"),""))</f>
        <v/>
      </c>
      <c r="N93" s="16"/>
      <c r="O93" s="26" t="str">
        <f t="shared" si="5"/>
        <v/>
      </c>
      <c r="P93" s="16"/>
    </row>
    <row r="94" ht="15.0" customHeight="1">
      <c r="A94" s="60" t="str">
        <f t="shared" si="1"/>
        <v/>
      </c>
      <c r="B94" s="33"/>
      <c r="C94" s="33"/>
      <c r="D94" s="33"/>
      <c r="E94" s="61"/>
      <c r="F94" s="32"/>
      <c r="G94" s="33"/>
      <c r="H94" s="33"/>
      <c r="I94" s="61">
        <f>IF($A94="",0,SUMIFS('Daily Transactions'!$F$6:$F$500,'Daily Transactions'!$I$6:$I$500,$O94,'Daily Transactions'!$C$6:$C$500,"Expense"))</f>
        <v>0</v>
      </c>
      <c r="J94" s="61" t="str">
        <f t="shared" si="2"/>
        <v/>
      </c>
      <c r="K94" s="60" t="str">
        <f t="shared" si="3"/>
        <v/>
      </c>
      <c r="L94" s="60" t="str">
        <f t="shared" si="4"/>
        <v/>
      </c>
      <c r="M94" s="56" t="str">
        <f>IF($A94="","",IF(I94&gt;=E94,MAXIFS('Daily Transactions'!$A$6:$A$500,'Daily Transactions'!$I$6:$I$500,$O94,'Daily Transactions'!$C$6:$C$500,"Expense"),""))</f>
        <v/>
      </c>
      <c r="N94" s="33"/>
      <c r="O94" s="26" t="str">
        <f t="shared" si="5"/>
        <v/>
      </c>
      <c r="P94" s="33"/>
    </row>
    <row r="95" ht="15.0" customHeight="1">
      <c r="A95" s="29" t="str">
        <f t="shared" si="1"/>
        <v/>
      </c>
      <c r="B95" s="16"/>
      <c r="C95" s="16"/>
      <c r="D95" s="16"/>
      <c r="E95" s="17"/>
      <c r="F95" s="40"/>
      <c r="G95" s="16"/>
      <c r="H95" s="16"/>
      <c r="I95" s="17">
        <f>IF($A95="",0,SUMIFS('Daily Transactions'!$F$6:$F$500,'Daily Transactions'!$I$6:$I$500,$O95,'Daily Transactions'!$C$6:$C$500,"Expense"))</f>
        <v>0</v>
      </c>
      <c r="J95" s="17" t="str">
        <f t="shared" si="2"/>
        <v/>
      </c>
      <c r="K95" s="29" t="str">
        <f t="shared" si="3"/>
        <v/>
      </c>
      <c r="L95" s="29" t="str">
        <f t="shared" si="4"/>
        <v/>
      </c>
      <c r="M95" s="49" t="str">
        <f>IF($A95="","",IF(I95&gt;=E95,MAXIFS('Daily Transactions'!$A$6:$A$500,'Daily Transactions'!$I$6:$I$500,$O95,'Daily Transactions'!$C$6:$C$500,"Expense"),""))</f>
        <v/>
      </c>
      <c r="N95" s="16"/>
      <c r="O95" s="26" t="str">
        <f t="shared" si="5"/>
        <v/>
      </c>
      <c r="P95" s="16"/>
    </row>
    <row r="96" ht="15.0" customHeight="1">
      <c r="A96" s="60" t="str">
        <f t="shared" si="1"/>
        <v/>
      </c>
      <c r="B96" s="33"/>
      <c r="C96" s="33"/>
      <c r="D96" s="33"/>
      <c r="E96" s="61"/>
      <c r="F96" s="32"/>
      <c r="G96" s="33"/>
      <c r="H96" s="33"/>
      <c r="I96" s="61">
        <f>IF($A96="",0,SUMIFS('Daily Transactions'!$F$6:$F$500,'Daily Transactions'!$I$6:$I$500,$O96,'Daily Transactions'!$C$6:$C$500,"Expense"))</f>
        <v>0</v>
      </c>
      <c r="J96" s="61" t="str">
        <f t="shared" si="2"/>
        <v/>
      </c>
      <c r="K96" s="60" t="str">
        <f t="shared" si="3"/>
        <v/>
      </c>
      <c r="L96" s="60" t="str">
        <f t="shared" si="4"/>
        <v/>
      </c>
      <c r="M96" s="56" t="str">
        <f>IF($A96="","",IF(I96&gt;=E96,MAXIFS('Daily Transactions'!$A$6:$A$500,'Daily Transactions'!$I$6:$I$500,$O96,'Daily Transactions'!$C$6:$C$500,"Expense"),""))</f>
        <v/>
      </c>
      <c r="N96" s="33"/>
      <c r="O96" s="26" t="str">
        <f t="shared" si="5"/>
        <v/>
      </c>
      <c r="P96" s="33"/>
    </row>
    <row r="97" ht="15.0" customHeight="1">
      <c r="A97" s="29" t="str">
        <f t="shared" si="1"/>
        <v/>
      </c>
      <c r="B97" s="16"/>
      <c r="C97" s="16"/>
      <c r="D97" s="16"/>
      <c r="E97" s="17"/>
      <c r="F97" s="40"/>
      <c r="G97" s="16"/>
      <c r="H97" s="16"/>
      <c r="I97" s="17">
        <f>IF($A97="",0,SUMIFS('Daily Transactions'!$F$6:$F$500,'Daily Transactions'!$I$6:$I$500,$O97,'Daily Transactions'!$C$6:$C$500,"Expense"))</f>
        <v>0</v>
      </c>
      <c r="J97" s="17" t="str">
        <f t="shared" si="2"/>
        <v/>
      </c>
      <c r="K97" s="29" t="str">
        <f t="shared" si="3"/>
        <v/>
      </c>
      <c r="L97" s="29" t="str">
        <f t="shared" si="4"/>
        <v/>
      </c>
      <c r="M97" s="49" t="str">
        <f>IF($A97="","",IF(I97&gt;=E97,MAXIFS('Daily Transactions'!$A$6:$A$500,'Daily Transactions'!$I$6:$I$500,$O97,'Daily Transactions'!$C$6:$C$500,"Expense"),""))</f>
        <v/>
      </c>
      <c r="N97" s="16"/>
      <c r="O97" s="26" t="str">
        <f t="shared" si="5"/>
        <v/>
      </c>
      <c r="P97" s="16"/>
    </row>
    <row r="98" ht="15.0" customHeight="1">
      <c r="A98" s="60" t="str">
        <f t="shared" si="1"/>
        <v/>
      </c>
      <c r="B98" s="33"/>
      <c r="C98" s="33"/>
      <c r="D98" s="33"/>
      <c r="E98" s="61"/>
      <c r="F98" s="32"/>
      <c r="G98" s="33"/>
      <c r="H98" s="33"/>
      <c r="I98" s="61">
        <f>IF($A98="",0,SUMIFS('Daily Transactions'!$F$6:$F$500,'Daily Transactions'!$I$6:$I$500,$O98,'Daily Transactions'!$C$6:$C$500,"Expense"))</f>
        <v>0</v>
      </c>
      <c r="J98" s="61" t="str">
        <f t="shared" si="2"/>
        <v/>
      </c>
      <c r="K98" s="60" t="str">
        <f t="shared" si="3"/>
        <v/>
      </c>
      <c r="L98" s="60" t="str">
        <f t="shared" si="4"/>
        <v/>
      </c>
      <c r="M98" s="56" t="str">
        <f>IF($A98="","",IF(I98&gt;=E98,MAXIFS('Daily Transactions'!$A$6:$A$500,'Daily Transactions'!$I$6:$I$500,$O98,'Daily Transactions'!$C$6:$C$500,"Expense"),""))</f>
        <v/>
      </c>
      <c r="N98" s="33"/>
      <c r="O98" s="26" t="str">
        <f t="shared" si="5"/>
        <v/>
      </c>
      <c r="P98" s="33"/>
    </row>
    <row r="99" ht="15.0" customHeight="1">
      <c r="A99" s="29" t="str">
        <f t="shared" si="1"/>
        <v/>
      </c>
      <c r="B99" s="16"/>
      <c r="C99" s="16"/>
      <c r="D99" s="16"/>
      <c r="E99" s="17"/>
      <c r="F99" s="40"/>
      <c r="G99" s="16"/>
      <c r="H99" s="16"/>
      <c r="I99" s="17">
        <f>IF($A99="",0,SUMIFS('Daily Transactions'!$F$6:$F$500,'Daily Transactions'!$I$6:$I$500,$O99,'Daily Transactions'!$C$6:$C$500,"Expense"))</f>
        <v>0</v>
      </c>
      <c r="J99" s="17" t="str">
        <f t="shared" si="2"/>
        <v/>
      </c>
      <c r="K99" s="29" t="str">
        <f t="shared" si="3"/>
        <v/>
      </c>
      <c r="L99" s="29" t="str">
        <f t="shared" si="4"/>
        <v/>
      </c>
      <c r="M99" s="49" t="str">
        <f>IF($A99="","",IF(I99&gt;=E99,MAXIFS('Daily Transactions'!$A$6:$A$500,'Daily Transactions'!$I$6:$I$500,$O99,'Daily Transactions'!$C$6:$C$500,"Expense"),""))</f>
        <v/>
      </c>
      <c r="N99" s="16"/>
      <c r="O99" s="26" t="str">
        <f t="shared" si="5"/>
        <v/>
      </c>
      <c r="P99" s="16"/>
    </row>
    <row r="100" ht="15.0" customHeight="1">
      <c r="A100" s="60" t="str">
        <f t="shared" si="1"/>
        <v/>
      </c>
      <c r="B100" s="33"/>
      <c r="C100" s="33"/>
      <c r="D100" s="33"/>
      <c r="E100" s="61"/>
      <c r="F100" s="32"/>
      <c r="G100" s="33"/>
      <c r="H100" s="33"/>
      <c r="I100" s="61">
        <f>IF($A100="",0,SUMIFS('Daily Transactions'!$F$6:$F$500,'Daily Transactions'!$I$6:$I$500,$O100,'Daily Transactions'!$C$6:$C$500,"Expense"))</f>
        <v>0</v>
      </c>
      <c r="J100" s="61" t="str">
        <f t="shared" si="2"/>
        <v/>
      </c>
      <c r="K100" s="60" t="str">
        <f t="shared" si="3"/>
        <v/>
      </c>
      <c r="L100" s="60" t="str">
        <f t="shared" si="4"/>
        <v/>
      </c>
      <c r="M100" s="56" t="str">
        <f>IF($A100="","",IF(I100&gt;=E100,MAXIFS('Daily Transactions'!$A$6:$A$500,'Daily Transactions'!$I$6:$I$500,$O100,'Daily Transactions'!$C$6:$C$500,"Expense"),""))</f>
        <v/>
      </c>
      <c r="N100" s="33"/>
      <c r="O100" s="26" t="str">
        <f t="shared" si="5"/>
        <v/>
      </c>
      <c r="P100" s="33"/>
    </row>
    <row r="101" ht="15.0" customHeight="1">
      <c r="A101" s="29" t="str">
        <f t="shared" si="1"/>
        <v/>
      </c>
      <c r="B101" s="16"/>
      <c r="C101" s="16"/>
      <c r="D101" s="16"/>
      <c r="E101" s="17"/>
      <c r="F101" s="40"/>
      <c r="G101" s="16"/>
      <c r="H101" s="16"/>
      <c r="I101" s="17">
        <f>IF($A101="",0,SUMIFS('Daily Transactions'!$F$6:$F$500,'Daily Transactions'!$I$6:$I$500,$O101,'Daily Transactions'!$C$6:$C$500,"Expense"))</f>
        <v>0</v>
      </c>
      <c r="J101" s="17" t="str">
        <f t="shared" si="2"/>
        <v/>
      </c>
      <c r="K101" s="29" t="str">
        <f t="shared" si="3"/>
        <v/>
      </c>
      <c r="L101" s="29" t="str">
        <f t="shared" si="4"/>
        <v/>
      </c>
      <c r="M101" s="49" t="str">
        <f>IF($A101="","",IF(I101&gt;=E101,MAXIFS('Daily Transactions'!$A$6:$A$500,'Daily Transactions'!$I$6:$I$500,$O101,'Daily Transactions'!$C$6:$C$500,"Expense"),""))</f>
        <v/>
      </c>
      <c r="N101" s="16"/>
      <c r="O101" s="26" t="str">
        <f t="shared" si="5"/>
        <v/>
      </c>
      <c r="P101" s="16"/>
    </row>
    <row r="102" ht="15.0" customHeight="1">
      <c r="A102" s="60" t="str">
        <f t="shared" si="1"/>
        <v/>
      </c>
      <c r="B102" s="33"/>
      <c r="C102" s="33"/>
      <c r="D102" s="33"/>
      <c r="E102" s="61"/>
      <c r="F102" s="32"/>
      <c r="G102" s="33"/>
      <c r="H102" s="33"/>
      <c r="I102" s="61">
        <f>IF($A102="",0,SUMIFS('Daily Transactions'!$F$6:$F$500,'Daily Transactions'!$I$6:$I$500,$O102,'Daily Transactions'!$C$6:$C$500,"Expense"))</f>
        <v>0</v>
      </c>
      <c r="J102" s="61" t="str">
        <f t="shared" si="2"/>
        <v/>
      </c>
      <c r="K102" s="60" t="str">
        <f t="shared" si="3"/>
        <v/>
      </c>
      <c r="L102" s="60" t="str">
        <f t="shared" si="4"/>
        <v/>
      </c>
      <c r="M102" s="56" t="str">
        <f>IF($A102="","",IF(I102&gt;=E102,MAXIFS('Daily Transactions'!$A$6:$A$500,'Daily Transactions'!$I$6:$I$500,$O102,'Daily Transactions'!$C$6:$C$500,"Expense"),""))</f>
        <v/>
      </c>
      <c r="N102" s="33"/>
      <c r="O102" s="26" t="str">
        <f t="shared" si="5"/>
        <v/>
      </c>
      <c r="P102" s="33"/>
    </row>
    <row r="103" ht="15.0" customHeight="1">
      <c r="A103" s="29" t="str">
        <f t="shared" si="1"/>
        <v/>
      </c>
      <c r="B103" s="16"/>
      <c r="C103" s="16"/>
      <c r="D103" s="16"/>
      <c r="E103" s="17"/>
      <c r="F103" s="40"/>
      <c r="G103" s="16"/>
      <c r="H103" s="16"/>
      <c r="I103" s="17">
        <f>IF($A103="",0,SUMIFS('Daily Transactions'!$F$6:$F$500,'Daily Transactions'!$I$6:$I$500,$O103,'Daily Transactions'!$C$6:$C$500,"Expense"))</f>
        <v>0</v>
      </c>
      <c r="J103" s="17" t="str">
        <f t="shared" si="2"/>
        <v/>
      </c>
      <c r="K103" s="29" t="str">
        <f t="shared" si="3"/>
        <v/>
      </c>
      <c r="L103" s="29" t="str">
        <f t="shared" si="4"/>
        <v/>
      </c>
      <c r="M103" s="49" t="str">
        <f>IF($A103="","",IF(I103&gt;=E103,MAXIFS('Daily Transactions'!$A$6:$A$500,'Daily Transactions'!$I$6:$I$500,$O103,'Daily Transactions'!$C$6:$C$500,"Expense"),""))</f>
        <v/>
      </c>
      <c r="N103" s="16"/>
      <c r="O103" s="26" t="str">
        <f t="shared" si="5"/>
        <v/>
      </c>
      <c r="P103" s="16"/>
    </row>
    <row r="104" ht="15.0" customHeight="1">
      <c r="A104" s="60" t="str">
        <f t="shared" si="1"/>
        <v/>
      </c>
      <c r="B104" s="33"/>
      <c r="C104" s="33"/>
      <c r="D104" s="33"/>
      <c r="E104" s="61"/>
      <c r="F104" s="32"/>
      <c r="G104" s="33"/>
      <c r="H104" s="33"/>
      <c r="I104" s="61">
        <f>IF($A104="",0,SUMIFS('Daily Transactions'!$F$6:$F$500,'Daily Transactions'!$I$6:$I$500,$O104,'Daily Transactions'!$C$6:$C$500,"Expense"))</f>
        <v>0</v>
      </c>
      <c r="J104" s="61" t="str">
        <f t="shared" si="2"/>
        <v/>
      </c>
      <c r="K104" s="60" t="str">
        <f t="shared" si="3"/>
        <v/>
      </c>
      <c r="L104" s="60" t="str">
        <f t="shared" si="4"/>
        <v/>
      </c>
      <c r="M104" s="56" t="str">
        <f>IF($A104="","",IF(I104&gt;=E104,MAXIFS('Daily Transactions'!$A$6:$A$500,'Daily Transactions'!$I$6:$I$500,$O104,'Daily Transactions'!$C$6:$C$500,"Expense"),""))</f>
        <v/>
      </c>
      <c r="N104" s="33"/>
      <c r="O104" s="26" t="str">
        <f t="shared" si="5"/>
        <v/>
      </c>
      <c r="P104" s="33"/>
    </row>
    <row r="105" ht="15.0" customHeight="1">
      <c r="A105" s="29" t="str">
        <f t="shared" si="1"/>
        <v/>
      </c>
      <c r="B105" s="16"/>
      <c r="C105" s="16"/>
      <c r="D105" s="16"/>
      <c r="E105" s="17"/>
      <c r="F105" s="40"/>
      <c r="G105" s="16"/>
      <c r="H105" s="16"/>
      <c r="I105" s="17">
        <f>IF($A105="",0,SUMIFS('Daily Transactions'!$F$6:$F$500,'Daily Transactions'!$I$6:$I$500,$O105,'Daily Transactions'!$C$6:$C$500,"Expense"))</f>
        <v>0</v>
      </c>
      <c r="J105" s="17" t="str">
        <f t="shared" si="2"/>
        <v/>
      </c>
      <c r="K105" s="29" t="str">
        <f t="shared" si="3"/>
        <v/>
      </c>
      <c r="L105" s="29" t="str">
        <f t="shared" si="4"/>
        <v/>
      </c>
      <c r="M105" s="49" t="str">
        <f>IF($A105="","",IF(I105&gt;=E105,MAXIFS('Daily Transactions'!$A$6:$A$500,'Daily Transactions'!$I$6:$I$500,$O105,'Daily Transactions'!$C$6:$C$500,"Expense"),""))</f>
        <v/>
      </c>
      <c r="N105" s="16"/>
      <c r="O105" s="26" t="str">
        <f t="shared" si="5"/>
        <v/>
      </c>
      <c r="P105" s="16"/>
    </row>
    <row r="106" ht="15.0" customHeight="1">
      <c r="A106" s="60" t="str">
        <f t="shared" si="1"/>
        <v/>
      </c>
      <c r="B106" s="33"/>
      <c r="C106" s="33"/>
      <c r="D106" s="33"/>
      <c r="E106" s="61"/>
      <c r="F106" s="32"/>
      <c r="G106" s="33"/>
      <c r="H106" s="33"/>
      <c r="I106" s="61">
        <f>IF($A106="",0,SUMIFS('Daily Transactions'!$F$6:$F$500,'Daily Transactions'!$I$6:$I$500,$O106,'Daily Transactions'!$C$6:$C$500,"Expense"))</f>
        <v>0</v>
      </c>
      <c r="J106" s="61" t="str">
        <f t="shared" si="2"/>
        <v/>
      </c>
      <c r="K106" s="60" t="str">
        <f t="shared" si="3"/>
        <v/>
      </c>
      <c r="L106" s="60" t="str">
        <f t="shared" si="4"/>
        <v/>
      </c>
      <c r="M106" s="56" t="str">
        <f>IF($A106="","",IF(I106&gt;=E106,MAXIFS('Daily Transactions'!$A$6:$A$500,'Daily Transactions'!$I$6:$I$500,$O106,'Daily Transactions'!$C$6:$C$500,"Expense"),""))</f>
        <v/>
      </c>
      <c r="N106" s="33"/>
      <c r="O106" s="26" t="str">
        <f t="shared" si="5"/>
        <v/>
      </c>
      <c r="P106" s="33"/>
    </row>
    <row r="107" ht="15.0" customHeight="1">
      <c r="A107" s="29" t="str">
        <f t="shared" si="1"/>
        <v/>
      </c>
      <c r="B107" s="16"/>
      <c r="C107" s="16"/>
      <c r="D107" s="16"/>
      <c r="E107" s="17"/>
      <c r="F107" s="40"/>
      <c r="G107" s="16"/>
      <c r="H107" s="16"/>
      <c r="I107" s="17">
        <f>IF($A107="",0,SUMIFS('Daily Transactions'!$F$6:$F$500,'Daily Transactions'!$I$6:$I$500,$O107,'Daily Transactions'!$C$6:$C$500,"Expense"))</f>
        <v>0</v>
      </c>
      <c r="J107" s="17" t="str">
        <f t="shared" si="2"/>
        <v/>
      </c>
      <c r="K107" s="29" t="str">
        <f t="shared" si="3"/>
        <v/>
      </c>
      <c r="L107" s="29" t="str">
        <f t="shared" si="4"/>
        <v/>
      </c>
      <c r="M107" s="49" t="str">
        <f>IF($A107="","",IF(I107&gt;=E107,MAXIFS('Daily Transactions'!$A$6:$A$500,'Daily Transactions'!$I$6:$I$500,$O107,'Daily Transactions'!$C$6:$C$500,"Expense"),""))</f>
        <v/>
      </c>
      <c r="N107" s="16"/>
      <c r="O107" s="26" t="str">
        <f t="shared" si="5"/>
        <v/>
      </c>
      <c r="P107" s="16"/>
    </row>
    <row r="108" ht="15.0" customHeight="1">
      <c r="A108" s="60" t="str">
        <f t="shared" si="1"/>
        <v/>
      </c>
      <c r="B108" s="33"/>
      <c r="C108" s="33"/>
      <c r="D108" s="33"/>
      <c r="E108" s="61"/>
      <c r="F108" s="32"/>
      <c r="G108" s="33"/>
      <c r="H108" s="33"/>
      <c r="I108" s="61">
        <f>IF($A108="",0,SUMIFS('Daily Transactions'!$F$6:$F$500,'Daily Transactions'!$I$6:$I$500,$O108,'Daily Transactions'!$C$6:$C$500,"Expense"))</f>
        <v>0</v>
      </c>
      <c r="J108" s="61" t="str">
        <f t="shared" si="2"/>
        <v/>
      </c>
      <c r="K108" s="60" t="str">
        <f t="shared" si="3"/>
        <v/>
      </c>
      <c r="L108" s="60" t="str">
        <f t="shared" si="4"/>
        <v/>
      </c>
      <c r="M108" s="56" t="str">
        <f>IF($A108="","",IF(I108&gt;=E108,MAXIFS('Daily Transactions'!$A$6:$A$500,'Daily Transactions'!$I$6:$I$500,$O108,'Daily Transactions'!$C$6:$C$500,"Expense"),""))</f>
        <v/>
      </c>
      <c r="N108" s="33"/>
      <c r="O108" s="26" t="str">
        <f t="shared" si="5"/>
        <v/>
      </c>
      <c r="P108" s="33"/>
    </row>
    <row r="109" ht="15.0" customHeight="1">
      <c r="A109" s="29" t="str">
        <f t="shared" si="1"/>
        <v/>
      </c>
      <c r="B109" s="16"/>
      <c r="C109" s="16"/>
      <c r="D109" s="16"/>
      <c r="E109" s="17"/>
      <c r="F109" s="40"/>
      <c r="G109" s="16"/>
      <c r="H109" s="16"/>
      <c r="I109" s="17">
        <f>IF($A109="",0,SUMIFS('Daily Transactions'!$F$6:$F$500,'Daily Transactions'!$I$6:$I$500,$O109,'Daily Transactions'!$C$6:$C$500,"Expense"))</f>
        <v>0</v>
      </c>
      <c r="J109" s="17" t="str">
        <f t="shared" si="2"/>
        <v/>
      </c>
      <c r="K109" s="29" t="str">
        <f t="shared" si="3"/>
        <v/>
      </c>
      <c r="L109" s="29" t="str">
        <f t="shared" si="4"/>
        <v/>
      </c>
      <c r="M109" s="49" t="str">
        <f>IF($A109="","",IF(I109&gt;=E109,MAXIFS('Daily Transactions'!$A$6:$A$500,'Daily Transactions'!$I$6:$I$500,$O109,'Daily Transactions'!$C$6:$C$500,"Expense"),""))</f>
        <v/>
      </c>
      <c r="N109" s="16"/>
      <c r="O109" s="26" t="str">
        <f t="shared" si="5"/>
        <v/>
      </c>
      <c r="P109" s="16"/>
    </row>
    <row r="110" ht="15.0" customHeight="1">
      <c r="A110" s="60" t="str">
        <f t="shared" si="1"/>
        <v/>
      </c>
      <c r="B110" s="33"/>
      <c r="C110" s="33"/>
      <c r="D110" s="33"/>
      <c r="E110" s="61"/>
      <c r="F110" s="32"/>
      <c r="G110" s="33"/>
      <c r="H110" s="33"/>
      <c r="I110" s="61">
        <f>IF($A110="",0,SUMIFS('Daily Transactions'!$F$6:$F$500,'Daily Transactions'!$I$6:$I$500,$O110,'Daily Transactions'!$C$6:$C$500,"Expense"))</f>
        <v>0</v>
      </c>
      <c r="J110" s="61" t="str">
        <f t="shared" si="2"/>
        <v/>
      </c>
      <c r="K110" s="60" t="str">
        <f t="shared" si="3"/>
        <v/>
      </c>
      <c r="L110" s="60" t="str">
        <f t="shared" si="4"/>
        <v/>
      </c>
      <c r="M110" s="56" t="str">
        <f>IF($A110="","",IF(I110&gt;=E110,MAXIFS('Daily Transactions'!$A$6:$A$500,'Daily Transactions'!$I$6:$I$500,$O110,'Daily Transactions'!$C$6:$C$500,"Expense"),""))</f>
        <v/>
      </c>
      <c r="N110" s="33"/>
      <c r="O110" s="26" t="str">
        <f t="shared" si="5"/>
        <v/>
      </c>
      <c r="P110" s="33"/>
    </row>
    <row r="111" ht="15.0" customHeight="1">
      <c r="A111" s="29" t="str">
        <f t="shared" si="1"/>
        <v/>
      </c>
      <c r="B111" s="16"/>
      <c r="C111" s="16"/>
      <c r="D111" s="16"/>
      <c r="E111" s="17"/>
      <c r="F111" s="40"/>
      <c r="G111" s="16"/>
      <c r="H111" s="16"/>
      <c r="I111" s="17">
        <f>IF($A111="",0,SUMIFS('Daily Transactions'!$F$6:$F$500,'Daily Transactions'!$I$6:$I$500,$O111,'Daily Transactions'!$C$6:$C$500,"Expense"))</f>
        <v>0</v>
      </c>
      <c r="J111" s="17" t="str">
        <f t="shared" si="2"/>
        <v/>
      </c>
      <c r="K111" s="29" t="str">
        <f t="shared" si="3"/>
        <v/>
      </c>
      <c r="L111" s="29" t="str">
        <f t="shared" si="4"/>
        <v/>
      </c>
      <c r="M111" s="49" t="str">
        <f>IF($A111="","",IF(I111&gt;=E111,MAXIFS('Daily Transactions'!$A$6:$A$500,'Daily Transactions'!$I$6:$I$500,$O111,'Daily Transactions'!$C$6:$C$500,"Expense"),""))</f>
        <v/>
      </c>
      <c r="N111" s="16"/>
      <c r="O111" s="26" t="str">
        <f t="shared" si="5"/>
        <v/>
      </c>
      <c r="P111" s="16"/>
    </row>
    <row r="112" ht="15.0" customHeight="1">
      <c r="A112" s="60" t="str">
        <f t="shared" si="1"/>
        <v/>
      </c>
      <c r="B112" s="33"/>
      <c r="C112" s="33"/>
      <c r="D112" s="33"/>
      <c r="E112" s="61"/>
      <c r="F112" s="32"/>
      <c r="G112" s="33"/>
      <c r="H112" s="33"/>
      <c r="I112" s="61">
        <f>IF($A112="",0,SUMIFS('Daily Transactions'!$F$6:$F$500,'Daily Transactions'!$I$6:$I$500,$O112,'Daily Transactions'!$C$6:$C$500,"Expense"))</f>
        <v>0</v>
      </c>
      <c r="J112" s="61" t="str">
        <f t="shared" si="2"/>
        <v/>
      </c>
      <c r="K112" s="60" t="str">
        <f t="shared" si="3"/>
        <v/>
      </c>
      <c r="L112" s="60" t="str">
        <f t="shared" si="4"/>
        <v/>
      </c>
      <c r="M112" s="56" t="str">
        <f>IF($A112="","",IF(I112&gt;=E112,MAXIFS('Daily Transactions'!$A$6:$A$500,'Daily Transactions'!$I$6:$I$500,$O112,'Daily Transactions'!$C$6:$C$500,"Expense"),""))</f>
        <v/>
      </c>
      <c r="N112" s="33"/>
      <c r="O112" s="26" t="str">
        <f t="shared" si="5"/>
        <v/>
      </c>
      <c r="P112" s="33"/>
    </row>
    <row r="113" ht="15.0" customHeight="1">
      <c r="A113" s="29" t="str">
        <f t="shared" si="1"/>
        <v/>
      </c>
      <c r="B113" s="16"/>
      <c r="C113" s="16"/>
      <c r="D113" s="16"/>
      <c r="E113" s="17"/>
      <c r="F113" s="40"/>
      <c r="G113" s="16"/>
      <c r="H113" s="16"/>
      <c r="I113" s="17">
        <f>IF($A113="",0,SUMIFS('Daily Transactions'!$F$6:$F$500,'Daily Transactions'!$I$6:$I$500,$O113,'Daily Transactions'!$C$6:$C$500,"Expense"))</f>
        <v>0</v>
      </c>
      <c r="J113" s="17" t="str">
        <f t="shared" si="2"/>
        <v/>
      </c>
      <c r="K113" s="29" t="str">
        <f t="shared" si="3"/>
        <v/>
      </c>
      <c r="L113" s="29" t="str">
        <f t="shared" si="4"/>
        <v/>
      </c>
      <c r="M113" s="49" t="str">
        <f>IF($A113="","",IF(I113&gt;=E113,MAXIFS('Daily Transactions'!$A$6:$A$500,'Daily Transactions'!$I$6:$I$500,$O113,'Daily Transactions'!$C$6:$C$500,"Expense"),""))</f>
        <v/>
      </c>
      <c r="N113" s="16"/>
      <c r="O113" s="26" t="str">
        <f t="shared" si="5"/>
        <v/>
      </c>
      <c r="P113" s="16"/>
    </row>
    <row r="114" ht="15.0" customHeight="1">
      <c r="A114" s="60" t="str">
        <f t="shared" si="1"/>
        <v/>
      </c>
      <c r="B114" s="33"/>
      <c r="C114" s="33"/>
      <c r="D114" s="33"/>
      <c r="E114" s="61"/>
      <c r="F114" s="32"/>
      <c r="G114" s="33"/>
      <c r="H114" s="33"/>
      <c r="I114" s="61">
        <f>IF($A114="",0,SUMIFS('Daily Transactions'!$F$6:$F$500,'Daily Transactions'!$I$6:$I$500,$O114,'Daily Transactions'!$C$6:$C$500,"Expense"))</f>
        <v>0</v>
      </c>
      <c r="J114" s="61" t="str">
        <f t="shared" si="2"/>
        <v/>
      </c>
      <c r="K114" s="60" t="str">
        <f t="shared" si="3"/>
        <v/>
      </c>
      <c r="L114" s="60" t="str">
        <f t="shared" si="4"/>
        <v/>
      </c>
      <c r="M114" s="56" t="str">
        <f>IF($A114="","",IF(I114&gt;=E114,MAXIFS('Daily Transactions'!$A$6:$A$500,'Daily Transactions'!$I$6:$I$500,$O114,'Daily Transactions'!$C$6:$C$500,"Expense"),""))</f>
        <v/>
      </c>
      <c r="N114" s="33"/>
      <c r="O114" s="26" t="str">
        <f t="shared" si="5"/>
        <v/>
      </c>
      <c r="P114" s="33"/>
    </row>
    <row r="115" ht="15.0" customHeight="1">
      <c r="A115" s="29" t="str">
        <f t="shared" si="1"/>
        <v/>
      </c>
      <c r="B115" s="16"/>
      <c r="C115" s="16"/>
      <c r="D115" s="16"/>
      <c r="E115" s="17"/>
      <c r="F115" s="40"/>
      <c r="G115" s="16"/>
      <c r="H115" s="16"/>
      <c r="I115" s="17">
        <f>IF($A115="",0,SUMIFS('Daily Transactions'!$F$6:$F$500,'Daily Transactions'!$I$6:$I$500,$O115,'Daily Transactions'!$C$6:$C$500,"Expense"))</f>
        <v>0</v>
      </c>
      <c r="J115" s="17" t="str">
        <f t="shared" si="2"/>
        <v/>
      </c>
      <c r="K115" s="29" t="str">
        <f t="shared" si="3"/>
        <v/>
      </c>
      <c r="L115" s="29" t="str">
        <f t="shared" si="4"/>
        <v/>
      </c>
      <c r="M115" s="49" t="str">
        <f>IF($A115="","",IF(I115&gt;=E115,MAXIFS('Daily Transactions'!$A$6:$A$500,'Daily Transactions'!$I$6:$I$500,$O115,'Daily Transactions'!$C$6:$C$500,"Expense"),""))</f>
        <v/>
      </c>
      <c r="N115" s="16"/>
      <c r="O115" s="26" t="str">
        <f t="shared" si="5"/>
        <v/>
      </c>
      <c r="P115" s="16"/>
    </row>
    <row r="116" ht="15.0" customHeight="1">
      <c r="A116" s="60" t="str">
        <f t="shared" si="1"/>
        <v/>
      </c>
      <c r="B116" s="33"/>
      <c r="C116" s="33"/>
      <c r="D116" s="33"/>
      <c r="E116" s="61"/>
      <c r="F116" s="32"/>
      <c r="G116" s="33"/>
      <c r="H116" s="33"/>
      <c r="I116" s="61">
        <f>IF($A116="",0,SUMIFS('Daily Transactions'!$F$6:$F$500,'Daily Transactions'!$I$6:$I$500,$O116,'Daily Transactions'!$C$6:$C$500,"Expense"))</f>
        <v>0</v>
      </c>
      <c r="J116" s="61" t="str">
        <f t="shared" si="2"/>
        <v/>
      </c>
      <c r="K116" s="60" t="str">
        <f t="shared" si="3"/>
        <v/>
      </c>
      <c r="L116" s="60" t="str">
        <f t="shared" si="4"/>
        <v/>
      </c>
      <c r="M116" s="56" t="str">
        <f>IF($A116="","",IF(I116&gt;=E116,MAXIFS('Daily Transactions'!$A$6:$A$500,'Daily Transactions'!$I$6:$I$500,$O116,'Daily Transactions'!$C$6:$C$500,"Expense"),""))</f>
        <v/>
      </c>
      <c r="N116" s="33"/>
      <c r="O116" s="26" t="str">
        <f t="shared" si="5"/>
        <v/>
      </c>
      <c r="P116" s="33"/>
    </row>
    <row r="117" ht="15.0" customHeight="1">
      <c r="A117" s="29" t="str">
        <f t="shared" si="1"/>
        <v/>
      </c>
      <c r="B117" s="16"/>
      <c r="C117" s="16"/>
      <c r="D117" s="16"/>
      <c r="E117" s="17"/>
      <c r="F117" s="40"/>
      <c r="G117" s="16"/>
      <c r="H117" s="16"/>
      <c r="I117" s="17">
        <f>IF($A117="",0,SUMIFS('Daily Transactions'!$F$6:$F$500,'Daily Transactions'!$I$6:$I$500,$O117,'Daily Transactions'!$C$6:$C$500,"Expense"))</f>
        <v>0</v>
      </c>
      <c r="J117" s="17" t="str">
        <f t="shared" si="2"/>
        <v/>
      </c>
      <c r="K117" s="29" t="str">
        <f t="shared" si="3"/>
        <v/>
      </c>
      <c r="L117" s="29" t="str">
        <f t="shared" si="4"/>
        <v/>
      </c>
      <c r="M117" s="49" t="str">
        <f>IF($A117="","",IF(I117&gt;=E117,MAXIFS('Daily Transactions'!$A$6:$A$500,'Daily Transactions'!$I$6:$I$500,$O117,'Daily Transactions'!$C$6:$C$500,"Expense"),""))</f>
        <v/>
      </c>
      <c r="N117" s="16"/>
      <c r="O117" s="26" t="str">
        <f t="shared" si="5"/>
        <v/>
      </c>
      <c r="P117" s="16"/>
    </row>
    <row r="118" ht="15.0" customHeight="1">
      <c r="A118" s="60" t="str">
        <f t="shared" si="1"/>
        <v/>
      </c>
      <c r="B118" s="33"/>
      <c r="C118" s="33"/>
      <c r="D118" s="33"/>
      <c r="E118" s="61"/>
      <c r="F118" s="32"/>
      <c r="G118" s="33"/>
      <c r="H118" s="33"/>
      <c r="I118" s="61">
        <f>IF($A118="",0,SUMIFS('Daily Transactions'!$F$6:$F$500,'Daily Transactions'!$I$6:$I$500,$O118,'Daily Transactions'!$C$6:$C$500,"Expense"))</f>
        <v>0</v>
      </c>
      <c r="J118" s="61" t="str">
        <f t="shared" si="2"/>
        <v/>
      </c>
      <c r="K118" s="60" t="str">
        <f t="shared" si="3"/>
        <v/>
      </c>
      <c r="L118" s="60" t="str">
        <f t="shared" si="4"/>
        <v/>
      </c>
      <c r="M118" s="56" t="str">
        <f>IF($A118="","",IF(I118&gt;=E118,MAXIFS('Daily Transactions'!$A$6:$A$500,'Daily Transactions'!$I$6:$I$500,$O118,'Daily Transactions'!$C$6:$C$500,"Expense"),""))</f>
        <v/>
      </c>
      <c r="N118" s="33"/>
      <c r="O118" s="26" t="str">
        <f t="shared" si="5"/>
        <v/>
      </c>
      <c r="P118" s="33"/>
    </row>
    <row r="119" ht="15.0" customHeight="1">
      <c r="A119" s="29" t="str">
        <f t="shared" si="1"/>
        <v/>
      </c>
      <c r="B119" s="16"/>
      <c r="C119" s="16"/>
      <c r="D119" s="16"/>
      <c r="E119" s="17"/>
      <c r="F119" s="40"/>
      <c r="G119" s="16"/>
      <c r="H119" s="16"/>
      <c r="I119" s="17">
        <f>IF($A119="",0,SUMIFS('Daily Transactions'!$F$6:$F$500,'Daily Transactions'!$I$6:$I$500,$O119,'Daily Transactions'!$C$6:$C$500,"Expense"))</f>
        <v>0</v>
      </c>
      <c r="J119" s="17" t="str">
        <f t="shared" si="2"/>
        <v/>
      </c>
      <c r="K119" s="29" t="str">
        <f t="shared" si="3"/>
        <v/>
      </c>
      <c r="L119" s="29" t="str">
        <f t="shared" si="4"/>
        <v/>
      </c>
      <c r="M119" s="49" t="str">
        <f>IF($A119="","",IF(I119&gt;=E119,MAXIFS('Daily Transactions'!$A$6:$A$500,'Daily Transactions'!$I$6:$I$500,$O119,'Daily Transactions'!$C$6:$C$500,"Expense"),""))</f>
        <v/>
      </c>
      <c r="N119" s="16"/>
      <c r="O119" s="26" t="str">
        <f t="shared" si="5"/>
        <v/>
      </c>
      <c r="P119" s="16"/>
    </row>
    <row r="120" ht="15.0" customHeight="1">
      <c r="A120" s="60" t="str">
        <f t="shared" si="1"/>
        <v/>
      </c>
      <c r="B120" s="33"/>
      <c r="C120" s="33"/>
      <c r="D120" s="33"/>
      <c r="E120" s="61"/>
      <c r="F120" s="32"/>
      <c r="G120" s="33"/>
      <c r="H120" s="33"/>
      <c r="I120" s="61">
        <f>IF($A120="",0,SUMIFS('Daily Transactions'!$F$6:$F$500,'Daily Transactions'!$I$6:$I$500,$O120,'Daily Transactions'!$C$6:$C$500,"Expense"))</f>
        <v>0</v>
      </c>
      <c r="J120" s="61" t="str">
        <f t="shared" si="2"/>
        <v/>
      </c>
      <c r="K120" s="60" t="str">
        <f t="shared" si="3"/>
        <v/>
      </c>
      <c r="L120" s="60" t="str">
        <f t="shared" si="4"/>
        <v/>
      </c>
      <c r="M120" s="56" t="str">
        <f>IF($A120="","",IF(I120&gt;=E120,MAXIFS('Daily Transactions'!$A$6:$A$500,'Daily Transactions'!$I$6:$I$500,$O120,'Daily Transactions'!$C$6:$C$500,"Expense"),""))</f>
        <v/>
      </c>
      <c r="N120" s="33"/>
      <c r="O120" s="26" t="str">
        <f t="shared" si="5"/>
        <v/>
      </c>
      <c r="P120" s="33"/>
    </row>
    <row r="121" ht="15.0" customHeight="1">
      <c r="A121" s="29" t="str">
        <f t="shared" si="1"/>
        <v/>
      </c>
      <c r="B121" s="16"/>
      <c r="C121" s="16"/>
      <c r="D121" s="16"/>
      <c r="E121" s="17"/>
      <c r="F121" s="40"/>
      <c r="G121" s="16"/>
      <c r="H121" s="16"/>
      <c r="I121" s="17">
        <f>IF($A121="",0,SUMIFS('Daily Transactions'!$F$6:$F$500,'Daily Transactions'!$I$6:$I$500,$O121,'Daily Transactions'!$C$6:$C$500,"Expense"))</f>
        <v>0</v>
      </c>
      <c r="J121" s="17" t="str">
        <f t="shared" si="2"/>
        <v/>
      </c>
      <c r="K121" s="29" t="str">
        <f t="shared" si="3"/>
        <v/>
      </c>
      <c r="L121" s="29" t="str">
        <f t="shared" si="4"/>
        <v/>
      </c>
      <c r="M121" s="49" t="str">
        <f>IF($A121="","",IF(I121&gt;=E121,MAXIFS('Daily Transactions'!$A$6:$A$500,'Daily Transactions'!$I$6:$I$500,$O121,'Daily Transactions'!$C$6:$C$500,"Expense"),""))</f>
        <v/>
      </c>
      <c r="N121" s="16"/>
      <c r="O121" s="26" t="str">
        <f t="shared" si="5"/>
        <v/>
      </c>
      <c r="P121" s="16"/>
    </row>
    <row r="122" ht="15.0" customHeight="1">
      <c r="A122" s="60" t="str">
        <f t="shared" si="1"/>
        <v/>
      </c>
      <c r="B122" s="33"/>
      <c r="C122" s="33"/>
      <c r="D122" s="33"/>
      <c r="E122" s="61"/>
      <c r="F122" s="32"/>
      <c r="G122" s="33"/>
      <c r="H122" s="33"/>
      <c r="I122" s="61">
        <f>IF($A122="",0,SUMIFS('Daily Transactions'!$F$6:$F$500,'Daily Transactions'!$I$6:$I$500,$O122,'Daily Transactions'!$C$6:$C$500,"Expense"))</f>
        <v>0</v>
      </c>
      <c r="J122" s="61" t="str">
        <f t="shared" si="2"/>
        <v/>
      </c>
      <c r="K122" s="60" t="str">
        <f t="shared" si="3"/>
        <v/>
      </c>
      <c r="L122" s="60" t="str">
        <f t="shared" si="4"/>
        <v/>
      </c>
      <c r="M122" s="56" t="str">
        <f>IF($A122="","",IF(I122&gt;=E122,MAXIFS('Daily Transactions'!$A$6:$A$500,'Daily Transactions'!$I$6:$I$500,$O122,'Daily Transactions'!$C$6:$C$500,"Expense"),""))</f>
        <v/>
      </c>
      <c r="N122" s="33"/>
      <c r="O122" s="26" t="str">
        <f t="shared" si="5"/>
        <v/>
      </c>
      <c r="P122" s="33"/>
    </row>
    <row r="123" ht="15.0" customHeight="1">
      <c r="A123" s="29" t="str">
        <f t="shared" si="1"/>
        <v/>
      </c>
      <c r="B123" s="16"/>
      <c r="C123" s="16"/>
      <c r="D123" s="16"/>
      <c r="E123" s="17"/>
      <c r="F123" s="40"/>
      <c r="G123" s="16"/>
      <c r="H123" s="16"/>
      <c r="I123" s="17">
        <f>IF($A123="",0,SUMIFS('Daily Transactions'!$F$6:$F$500,'Daily Transactions'!$I$6:$I$500,$O123,'Daily Transactions'!$C$6:$C$500,"Expense"))</f>
        <v>0</v>
      </c>
      <c r="J123" s="17" t="str">
        <f t="shared" si="2"/>
        <v/>
      </c>
      <c r="K123" s="29" t="str">
        <f t="shared" si="3"/>
        <v/>
      </c>
      <c r="L123" s="29" t="str">
        <f t="shared" si="4"/>
        <v/>
      </c>
      <c r="M123" s="49" t="str">
        <f>IF($A123="","",IF(I123&gt;=E123,MAXIFS('Daily Transactions'!$A$6:$A$500,'Daily Transactions'!$I$6:$I$500,$O123,'Daily Transactions'!$C$6:$C$500,"Expense"),""))</f>
        <v/>
      </c>
      <c r="N123" s="16"/>
      <c r="O123" s="26" t="str">
        <f t="shared" si="5"/>
        <v/>
      </c>
      <c r="P123" s="16"/>
    </row>
    <row r="124" ht="15.0" customHeight="1">
      <c r="A124" s="60" t="str">
        <f t="shared" si="1"/>
        <v/>
      </c>
      <c r="B124" s="33"/>
      <c r="C124" s="33"/>
      <c r="D124" s="33"/>
      <c r="E124" s="61"/>
      <c r="F124" s="32"/>
      <c r="G124" s="33"/>
      <c r="H124" s="33"/>
      <c r="I124" s="61">
        <f>IF($A124="",0,SUMIFS('Daily Transactions'!$F$6:$F$500,'Daily Transactions'!$I$6:$I$500,$O124,'Daily Transactions'!$C$6:$C$500,"Expense"))</f>
        <v>0</v>
      </c>
      <c r="J124" s="61" t="str">
        <f t="shared" si="2"/>
        <v/>
      </c>
      <c r="K124" s="60" t="str">
        <f t="shared" si="3"/>
        <v/>
      </c>
      <c r="L124" s="60" t="str">
        <f t="shared" si="4"/>
        <v/>
      </c>
      <c r="M124" s="56" t="str">
        <f>IF($A124="","",IF(I124&gt;=E124,MAXIFS('Daily Transactions'!$A$6:$A$500,'Daily Transactions'!$I$6:$I$500,$O124,'Daily Transactions'!$C$6:$C$500,"Expense"),""))</f>
        <v/>
      </c>
      <c r="N124" s="33"/>
      <c r="O124" s="26" t="str">
        <f t="shared" si="5"/>
        <v/>
      </c>
      <c r="P124" s="33"/>
    </row>
    <row r="125" ht="15.0" customHeight="1">
      <c r="A125" s="29" t="str">
        <f t="shared" si="1"/>
        <v/>
      </c>
      <c r="B125" s="16"/>
      <c r="C125" s="16"/>
      <c r="D125" s="16"/>
      <c r="E125" s="17"/>
      <c r="F125" s="40"/>
      <c r="G125" s="16"/>
      <c r="H125" s="16"/>
      <c r="I125" s="17">
        <f>IF($A125="",0,SUMIFS('Daily Transactions'!$F$6:$F$500,'Daily Transactions'!$I$6:$I$500,$O125,'Daily Transactions'!$C$6:$C$500,"Expense"))</f>
        <v>0</v>
      </c>
      <c r="J125" s="17" t="str">
        <f t="shared" si="2"/>
        <v/>
      </c>
      <c r="K125" s="29" t="str">
        <f t="shared" si="3"/>
        <v/>
      </c>
      <c r="L125" s="29" t="str">
        <f t="shared" si="4"/>
        <v/>
      </c>
      <c r="M125" s="49" t="str">
        <f>IF($A125="","",IF(I125&gt;=E125,MAXIFS('Daily Transactions'!$A$6:$A$500,'Daily Transactions'!$I$6:$I$500,$O125,'Daily Transactions'!$C$6:$C$500,"Expense"),""))</f>
        <v/>
      </c>
      <c r="N125" s="16"/>
      <c r="O125" s="26" t="str">
        <f t="shared" si="5"/>
        <v/>
      </c>
      <c r="P125" s="16"/>
    </row>
    <row r="126" ht="15.0" customHeight="1">
      <c r="A126" s="60" t="str">
        <f t="shared" si="1"/>
        <v/>
      </c>
      <c r="B126" s="33"/>
      <c r="C126" s="33"/>
      <c r="D126" s="33"/>
      <c r="E126" s="61"/>
      <c r="F126" s="32"/>
      <c r="G126" s="33"/>
      <c r="H126" s="33"/>
      <c r="I126" s="61">
        <f>IF($A126="",0,SUMIFS('Daily Transactions'!$F$6:$F$500,'Daily Transactions'!$I$6:$I$500,$O126,'Daily Transactions'!$C$6:$C$500,"Expense"))</f>
        <v>0</v>
      </c>
      <c r="J126" s="61" t="str">
        <f t="shared" si="2"/>
        <v/>
      </c>
      <c r="K126" s="60" t="str">
        <f t="shared" si="3"/>
        <v/>
      </c>
      <c r="L126" s="60" t="str">
        <f t="shared" si="4"/>
        <v/>
      </c>
      <c r="M126" s="56" t="str">
        <f>IF($A126="","",IF(I126&gt;=E126,MAXIFS('Daily Transactions'!$A$6:$A$500,'Daily Transactions'!$I$6:$I$500,$O126,'Daily Transactions'!$C$6:$C$500,"Expense"),""))</f>
        <v/>
      </c>
      <c r="N126" s="33"/>
      <c r="O126" s="26" t="str">
        <f t="shared" si="5"/>
        <v/>
      </c>
      <c r="P126" s="33"/>
    </row>
    <row r="127" ht="15.0" customHeight="1">
      <c r="A127" s="29" t="str">
        <f t="shared" si="1"/>
        <v/>
      </c>
      <c r="B127" s="16"/>
      <c r="C127" s="16"/>
      <c r="D127" s="16"/>
      <c r="E127" s="17"/>
      <c r="F127" s="40"/>
      <c r="G127" s="16"/>
      <c r="H127" s="16"/>
      <c r="I127" s="17">
        <f>IF($A127="",0,SUMIFS('Daily Transactions'!$F$6:$F$500,'Daily Transactions'!$I$6:$I$500,$O127,'Daily Transactions'!$C$6:$C$500,"Expense"))</f>
        <v>0</v>
      </c>
      <c r="J127" s="17" t="str">
        <f t="shared" si="2"/>
        <v/>
      </c>
      <c r="K127" s="29" t="str">
        <f t="shared" si="3"/>
        <v/>
      </c>
      <c r="L127" s="29" t="str">
        <f t="shared" si="4"/>
        <v/>
      </c>
      <c r="M127" s="49" t="str">
        <f>IF($A127="","",IF(I127&gt;=E127,MAXIFS('Daily Transactions'!$A$6:$A$500,'Daily Transactions'!$I$6:$I$500,$O127,'Daily Transactions'!$C$6:$C$500,"Expense"),""))</f>
        <v/>
      </c>
      <c r="N127" s="16"/>
      <c r="O127" s="26" t="str">
        <f t="shared" si="5"/>
        <v/>
      </c>
      <c r="P127" s="16"/>
    </row>
    <row r="128" ht="15.0" customHeight="1">
      <c r="A128" s="60" t="str">
        <f t="shared" si="1"/>
        <v/>
      </c>
      <c r="B128" s="33"/>
      <c r="C128" s="33"/>
      <c r="D128" s="33"/>
      <c r="E128" s="61"/>
      <c r="F128" s="32"/>
      <c r="G128" s="33"/>
      <c r="H128" s="33"/>
      <c r="I128" s="61">
        <f>IF($A128="",0,SUMIFS('Daily Transactions'!$F$6:$F$500,'Daily Transactions'!$I$6:$I$500,$O128,'Daily Transactions'!$C$6:$C$500,"Expense"))</f>
        <v>0</v>
      </c>
      <c r="J128" s="61" t="str">
        <f t="shared" si="2"/>
        <v/>
      </c>
      <c r="K128" s="60" t="str">
        <f t="shared" si="3"/>
        <v/>
      </c>
      <c r="L128" s="60" t="str">
        <f t="shared" si="4"/>
        <v/>
      </c>
      <c r="M128" s="56" t="str">
        <f>IF($A128="","",IF(I128&gt;=E128,MAXIFS('Daily Transactions'!$A$6:$A$500,'Daily Transactions'!$I$6:$I$500,$O128,'Daily Transactions'!$C$6:$C$500,"Expense"),""))</f>
        <v/>
      </c>
      <c r="N128" s="33"/>
      <c r="O128" s="26" t="str">
        <f t="shared" si="5"/>
        <v/>
      </c>
      <c r="P128" s="33"/>
    </row>
    <row r="129" ht="15.0" customHeight="1">
      <c r="A129" s="29" t="str">
        <f t="shared" si="1"/>
        <v/>
      </c>
      <c r="B129" s="16"/>
      <c r="C129" s="16"/>
      <c r="D129" s="16"/>
      <c r="E129" s="17"/>
      <c r="F129" s="40"/>
      <c r="G129" s="16"/>
      <c r="H129" s="16"/>
      <c r="I129" s="17">
        <f>IF($A129="",0,SUMIFS('Daily Transactions'!$F$6:$F$500,'Daily Transactions'!$I$6:$I$500,$O129,'Daily Transactions'!$C$6:$C$500,"Expense"))</f>
        <v>0</v>
      </c>
      <c r="J129" s="17" t="str">
        <f t="shared" si="2"/>
        <v/>
      </c>
      <c r="K129" s="29" t="str">
        <f t="shared" si="3"/>
        <v/>
      </c>
      <c r="L129" s="29" t="str">
        <f t="shared" si="4"/>
        <v/>
      </c>
      <c r="M129" s="49" t="str">
        <f>IF($A129="","",IF(I129&gt;=E129,MAXIFS('Daily Transactions'!$A$6:$A$500,'Daily Transactions'!$I$6:$I$500,$O129,'Daily Transactions'!$C$6:$C$500,"Expense"),""))</f>
        <v/>
      </c>
      <c r="N129" s="16"/>
      <c r="O129" s="26" t="str">
        <f t="shared" si="5"/>
        <v/>
      </c>
      <c r="P129" s="16"/>
    </row>
    <row r="130" ht="15.0" customHeight="1">
      <c r="A130" s="60" t="str">
        <f t="shared" si="1"/>
        <v/>
      </c>
      <c r="B130" s="33"/>
      <c r="C130" s="33"/>
      <c r="D130" s="33"/>
      <c r="E130" s="61"/>
      <c r="F130" s="32"/>
      <c r="G130" s="33"/>
      <c r="H130" s="33"/>
      <c r="I130" s="61">
        <f>IF($A130="",0,SUMIFS('Daily Transactions'!$F$6:$F$500,'Daily Transactions'!$I$6:$I$500,$O130,'Daily Transactions'!$C$6:$C$500,"Expense"))</f>
        <v>0</v>
      </c>
      <c r="J130" s="61" t="str">
        <f t="shared" si="2"/>
        <v/>
      </c>
      <c r="K130" s="60" t="str">
        <f t="shared" si="3"/>
        <v/>
      </c>
      <c r="L130" s="60" t="str">
        <f t="shared" si="4"/>
        <v/>
      </c>
      <c r="M130" s="56" t="str">
        <f>IF($A130="","",IF(I130&gt;=E130,MAXIFS('Daily Transactions'!$A$6:$A$500,'Daily Transactions'!$I$6:$I$500,$O130,'Daily Transactions'!$C$6:$C$500,"Expense"),""))</f>
        <v/>
      </c>
      <c r="N130" s="33"/>
      <c r="O130" s="26" t="str">
        <f t="shared" si="5"/>
        <v/>
      </c>
      <c r="P130" s="33"/>
    </row>
    <row r="131" ht="15.0" customHeight="1">
      <c r="A131" s="29" t="str">
        <f t="shared" si="1"/>
        <v/>
      </c>
      <c r="B131" s="16"/>
      <c r="C131" s="16"/>
      <c r="D131" s="16"/>
      <c r="E131" s="17"/>
      <c r="F131" s="40"/>
      <c r="G131" s="16"/>
      <c r="H131" s="16"/>
      <c r="I131" s="17">
        <f>IF($A131="",0,SUMIFS('Daily Transactions'!$F$6:$F$500,'Daily Transactions'!$I$6:$I$500,$O131,'Daily Transactions'!$C$6:$C$500,"Expense"))</f>
        <v>0</v>
      </c>
      <c r="J131" s="17" t="str">
        <f t="shared" si="2"/>
        <v/>
      </c>
      <c r="K131" s="29" t="str">
        <f t="shared" si="3"/>
        <v/>
      </c>
      <c r="L131" s="29" t="str">
        <f t="shared" si="4"/>
        <v/>
      </c>
      <c r="M131" s="49" t="str">
        <f>IF($A131="","",IF(I131&gt;=E131,MAXIFS('Daily Transactions'!$A$6:$A$500,'Daily Transactions'!$I$6:$I$500,$O131,'Daily Transactions'!$C$6:$C$500,"Expense"),""))</f>
        <v/>
      </c>
      <c r="N131" s="16"/>
      <c r="O131" s="26" t="str">
        <f t="shared" si="5"/>
        <v/>
      </c>
      <c r="P131" s="16"/>
    </row>
    <row r="132" ht="15.0" customHeight="1">
      <c r="A132" s="60" t="str">
        <f t="shared" si="1"/>
        <v/>
      </c>
      <c r="B132" s="33"/>
      <c r="C132" s="33"/>
      <c r="D132" s="33"/>
      <c r="E132" s="61"/>
      <c r="F132" s="32"/>
      <c r="G132" s="33"/>
      <c r="H132" s="33"/>
      <c r="I132" s="61">
        <f>IF($A132="",0,SUMIFS('Daily Transactions'!$F$6:$F$500,'Daily Transactions'!$I$6:$I$500,$O132,'Daily Transactions'!$C$6:$C$500,"Expense"))</f>
        <v>0</v>
      </c>
      <c r="J132" s="61" t="str">
        <f t="shared" si="2"/>
        <v/>
      </c>
      <c r="K132" s="60" t="str">
        <f t="shared" si="3"/>
        <v/>
      </c>
      <c r="L132" s="60" t="str">
        <f t="shared" si="4"/>
        <v/>
      </c>
      <c r="M132" s="56" t="str">
        <f>IF($A132="","",IF(I132&gt;=E132,MAXIFS('Daily Transactions'!$A$6:$A$500,'Daily Transactions'!$I$6:$I$500,$O132,'Daily Transactions'!$C$6:$C$500,"Expense"),""))</f>
        <v/>
      </c>
      <c r="N132" s="33"/>
      <c r="O132" s="26" t="str">
        <f t="shared" si="5"/>
        <v/>
      </c>
      <c r="P132" s="33"/>
    </row>
    <row r="133" ht="15.0" customHeight="1">
      <c r="A133" s="29" t="str">
        <f t="shared" si="1"/>
        <v/>
      </c>
      <c r="B133" s="16"/>
      <c r="C133" s="16"/>
      <c r="D133" s="16"/>
      <c r="E133" s="17"/>
      <c r="F133" s="40"/>
      <c r="G133" s="16"/>
      <c r="H133" s="16"/>
      <c r="I133" s="17">
        <f>IF($A133="",0,SUMIFS('Daily Transactions'!$F$6:$F$500,'Daily Transactions'!$I$6:$I$500,$O133,'Daily Transactions'!$C$6:$C$500,"Expense"))</f>
        <v>0</v>
      </c>
      <c r="J133" s="17" t="str">
        <f t="shared" si="2"/>
        <v/>
      </c>
      <c r="K133" s="29" t="str">
        <f t="shared" si="3"/>
        <v/>
      </c>
      <c r="L133" s="29" t="str">
        <f t="shared" si="4"/>
        <v/>
      </c>
      <c r="M133" s="49" t="str">
        <f>IF($A133="","",IF(I133&gt;=E133,MAXIFS('Daily Transactions'!$A$6:$A$500,'Daily Transactions'!$I$6:$I$500,$O133,'Daily Transactions'!$C$6:$C$500,"Expense"),""))</f>
        <v/>
      </c>
      <c r="N133" s="16"/>
      <c r="O133" s="26" t="str">
        <f t="shared" si="5"/>
        <v/>
      </c>
      <c r="P133" s="16"/>
    </row>
    <row r="134" ht="15.0" customHeight="1">
      <c r="A134" s="60" t="str">
        <f t="shared" si="1"/>
        <v/>
      </c>
      <c r="B134" s="33"/>
      <c r="C134" s="33"/>
      <c r="D134" s="33"/>
      <c r="E134" s="61"/>
      <c r="F134" s="32"/>
      <c r="G134" s="33"/>
      <c r="H134" s="33"/>
      <c r="I134" s="61">
        <f>IF($A134="",0,SUMIFS('Daily Transactions'!$F$6:$F$500,'Daily Transactions'!$I$6:$I$500,$O134,'Daily Transactions'!$C$6:$C$500,"Expense"))</f>
        <v>0</v>
      </c>
      <c r="J134" s="61" t="str">
        <f t="shared" si="2"/>
        <v/>
      </c>
      <c r="K134" s="60" t="str">
        <f t="shared" si="3"/>
        <v/>
      </c>
      <c r="L134" s="60" t="str">
        <f t="shared" si="4"/>
        <v/>
      </c>
      <c r="M134" s="56" t="str">
        <f>IF($A134="","",IF(I134&gt;=E134,MAXIFS('Daily Transactions'!$A$6:$A$500,'Daily Transactions'!$I$6:$I$500,$O134,'Daily Transactions'!$C$6:$C$500,"Expense"),""))</f>
        <v/>
      </c>
      <c r="N134" s="33"/>
      <c r="O134" s="26" t="str">
        <f t="shared" si="5"/>
        <v/>
      </c>
      <c r="P134" s="33"/>
    </row>
    <row r="135" ht="15.0" customHeight="1">
      <c r="A135" s="29" t="str">
        <f t="shared" si="1"/>
        <v/>
      </c>
      <c r="B135" s="16"/>
      <c r="C135" s="16"/>
      <c r="D135" s="16"/>
      <c r="E135" s="17"/>
      <c r="F135" s="40"/>
      <c r="G135" s="16"/>
      <c r="H135" s="16"/>
      <c r="I135" s="17">
        <f>IF($A135="",0,SUMIFS('Daily Transactions'!$F$6:$F$500,'Daily Transactions'!$I$6:$I$500,$O135,'Daily Transactions'!$C$6:$C$500,"Expense"))</f>
        <v>0</v>
      </c>
      <c r="J135" s="17" t="str">
        <f t="shared" si="2"/>
        <v/>
      </c>
      <c r="K135" s="29" t="str">
        <f t="shared" si="3"/>
        <v/>
      </c>
      <c r="L135" s="29" t="str">
        <f t="shared" si="4"/>
        <v/>
      </c>
      <c r="M135" s="49" t="str">
        <f>IF($A135="","",IF(I135&gt;=E135,MAXIFS('Daily Transactions'!$A$6:$A$500,'Daily Transactions'!$I$6:$I$500,$O135,'Daily Transactions'!$C$6:$C$500,"Expense"),""))</f>
        <v/>
      </c>
      <c r="N135" s="16"/>
      <c r="O135" s="26" t="str">
        <f t="shared" si="5"/>
        <v/>
      </c>
      <c r="P135" s="16"/>
    </row>
    <row r="136" ht="15.0" customHeight="1">
      <c r="A136" s="60" t="str">
        <f t="shared" si="1"/>
        <v/>
      </c>
      <c r="B136" s="33"/>
      <c r="C136" s="33"/>
      <c r="D136" s="33"/>
      <c r="E136" s="61"/>
      <c r="F136" s="32"/>
      <c r="G136" s="33"/>
      <c r="H136" s="33"/>
      <c r="I136" s="61">
        <f>IF($A136="",0,SUMIFS('Daily Transactions'!$F$6:$F$500,'Daily Transactions'!$I$6:$I$500,$O136,'Daily Transactions'!$C$6:$C$500,"Expense"))</f>
        <v>0</v>
      </c>
      <c r="J136" s="61" t="str">
        <f t="shared" si="2"/>
        <v/>
      </c>
      <c r="K136" s="60" t="str">
        <f t="shared" si="3"/>
        <v/>
      </c>
      <c r="L136" s="60" t="str">
        <f t="shared" si="4"/>
        <v/>
      </c>
      <c r="M136" s="56" t="str">
        <f>IF($A136="","",IF(I136&gt;=E136,MAXIFS('Daily Transactions'!$A$6:$A$500,'Daily Transactions'!$I$6:$I$500,$O136,'Daily Transactions'!$C$6:$C$500,"Expense"),""))</f>
        <v/>
      </c>
      <c r="N136" s="33"/>
      <c r="O136" s="26" t="str">
        <f t="shared" si="5"/>
        <v/>
      </c>
      <c r="P136" s="33"/>
    </row>
    <row r="137" ht="15.0" customHeight="1">
      <c r="A137" s="29" t="str">
        <f t="shared" si="1"/>
        <v/>
      </c>
      <c r="B137" s="16"/>
      <c r="C137" s="16"/>
      <c r="D137" s="16"/>
      <c r="E137" s="17"/>
      <c r="F137" s="40"/>
      <c r="G137" s="16"/>
      <c r="H137" s="16"/>
      <c r="I137" s="17">
        <f>IF($A137="",0,SUMIFS('Daily Transactions'!$F$6:$F$500,'Daily Transactions'!$I$6:$I$500,$O137,'Daily Transactions'!$C$6:$C$500,"Expense"))</f>
        <v>0</v>
      </c>
      <c r="J137" s="17" t="str">
        <f t="shared" si="2"/>
        <v/>
      </c>
      <c r="K137" s="29" t="str">
        <f t="shared" si="3"/>
        <v/>
      </c>
      <c r="L137" s="29" t="str">
        <f t="shared" si="4"/>
        <v/>
      </c>
      <c r="M137" s="49" t="str">
        <f>IF($A137="","",IF(I137&gt;=E137,MAXIFS('Daily Transactions'!$A$6:$A$500,'Daily Transactions'!$I$6:$I$500,$O137,'Daily Transactions'!$C$6:$C$500,"Expense"),""))</f>
        <v/>
      </c>
      <c r="N137" s="16"/>
      <c r="O137" s="26" t="str">
        <f t="shared" si="5"/>
        <v/>
      </c>
      <c r="P137" s="16"/>
    </row>
    <row r="138" ht="15.0" customHeight="1">
      <c r="A138" s="60" t="str">
        <f t="shared" si="1"/>
        <v/>
      </c>
      <c r="B138" s="33"/>
      <c r="C138" s="33"/>
      <c r="D138" s="33"/>
      <c r="E138" s="61"/>
      <c r="F138" s="32"/>
      <c r="G138" s="33"/>
      <c r="H138" s="33"/>
      <c r="I138" s="61">
        <f>IF($A138="",0,SUMIFS('Daily Transactions'!$F$6:$F$500,'Daily Transactions'!$I$6:$I$500,$O138,'Daily Transactions'!$C$6:$C$500,"Expense"))</f>
        <v>0</v>
      </c>
      <c r="J138" s="61" t="str">
        <f t="shared" si="2"/>
        <v/>
      </c>
      <c r="K138" s="60" t="str">
        <f t="shared" si="3"/>
        <v/>
      </c>
      <c r="L138" s="60" t="str">
        <f t="shared" si="4"/>
        <v/>
      </c>
      <c r="M138" s="56" t="str">
        <f>IF($A138="","",IF(I138&gt;=E138,MAXIFS('Daily Transactions'!$A$6:$A$500,'Daily Transactions'!$I$6:$I$500,$O138,'Daily Transactions'!$C$6:$C$500,"Expense"),""))</f>
        <v/>
      </c>
      <c r="N138" s="33"/>
      <c r="O138" s="26" t="str">
        <f t="shared" si="5"/>
        <v/>
      </c>
      <c r="P138" s="33"/>
    </row>
    <row r="139" ht="15.0" customHeight="1">
      <c r="A139" s="29" t="str">
        <f t="shared" si="1"/>
        <v/>
      </c>
      <c r="B139" s="16"/>
      <c r="C139" s="16"/>
      <c r="D139" s="16"/>
      <c r="E139" s="17"/>
      <c r="F139" s="40"/>
      <c r="G139" s="16"/>
      <c r="H139" s="16"/>
      <c r="I139" s="17">
        <f>IF($A139="",0,SUMIFS('Daily Transactions'!$F$6:$F$500,'Daily Transactions'!$I$6:$I$500,$O139,'Daily Transactions'!$C$6:$C$500,"Expense"))</f>
        <v>0</v>
      </c>
      <c r="J139" s="17" t="str">
        <f t="shared" si="2"/>
        <v/>
      </c>
      <c r="K139" s="29" t="str">
        <f t="shared" si="3"/>
        <v/>
      </c>
      <c r="L139" s="29" t="str">
        <f t="shared" si="4"/>
        <v/>
      </c>
      <c r="M139" s="49" t="str">
        <f>IF($A139="","",IF(I139&gt;=E139,MAXIFS('Daily Transactions'!$A$6:$A$500,'Daily Transactions'!$I$6:$I$500,$O139,'Daily Transactions'!$C$6:$C$500,"Expense"),""))</f>
        <v/>
      </c>
      <c r="N139" s="16"/>
      <c r="O139" s="26" t="str">
        <f t="shared" si="5"/>
        <v/>
      </c>
      <c r="P139" s="16"/>
    </row>
    <row r="140" ht="15.0" customHeight="1">
      <c r="A140" s="60" t="str">
        <f t="shared" si="1"/>
        <v/>
      </c>
      <c r="B140" s="33"/>
      <c r="C140" s="33"/>
      <c r="D140" s="33"/>
      <c r="E140" s="61"/>
      <c r="F140" s="32"/>
      <c r="G140" s="33"/>
      <c r="H140" s="33"/>
      <c r="I140" s="61">
        <f>IF($A140="",0,SUMIFS('Daily Transactions'!$F$6:$F$500,'Daily Transactions'!$I$6:$I$500,$O140,'Daily Transactions'!$C$6:$C$500,"Expense"))</f>
        <v>0</v>
      </c>
      <c r="J140" s="61" t="str">
        <f t="shared" si="2"/>
        <v/>
      </c>
      <c r="K140" s="60" t="str">
        <f t="shared" si="3"/>
        <v/>
      </c>
      <c r="L140" s="60" t="str">
        <f t="shared" si="4"/>
        <v/>
      </c>
      <c r="M140" s="56" t="str">
        <f>IF($A140="","",IF(I140&gt;=E140,MAXIFS('Daily Transactions'!$A$6:$A$500,'Daily Transactions'!$I$6:$I$500,$O140,'Daily Transactions'!$C$6:$C$500,"Expense"),""))</f>
        <v/>
      </c>
      <c r="N140" s="33"/>
      <c r="O140" s="26" t="str">
        <f t="shared" si="5"/>
        <v/>
      </c>
      <c r="P140" s="33"/>
    </row>
    <row r="141" ht="15.0" customHeight="1">
      <c r="A141" s="29" t="str">
        <f t="shared" si="1"/>
        <v/>
      </c>
      <c r="B141" s="16"/>
      <c r="C141" s="16"/>
      <c r="D141" s="16"/>
      <c r="E141" s="17"/>
      <c r="F141" s="40"/>
      <c r="G141" s="16"/>
      <c r="H141" s="16"/>
      <c r="I141" s="17">
        <f>IF($A141="",0,SUMIFS('Daily Transactions'!$F$6:$F$500,'Daily Transactions'!$I$6:$I$500,$O141,'Daily Transactions'!$C$6:$C$500,"Expense"))</f>
        <v>0</v>
      </c>
      <c r="J141" s="17" t="str">
        <f t="shared" si="2"/>
        <v/>
      </c>
      <c r="K141" s="29" t="str">
        <f t="shared" si="3"/>
        <v/>
      </c>
      <c r="L141" s="29" t="str">
        <f t="shared" si="4"/>
        <v/>
      </c>
      <c r="M141" s="49" t="str">
        <f>IF($A141="","",IF(I141&gt;=E141,MAXIFS('Daily Transactions'!$A$6:$A$500,'Daily Transactions'!$I$6:$I$500,$O141,'Daily Transactions'!$C$6:$C$500,"Expense"),""))</f>
        <v/>
      </c>
      <c r="N141" s="16"/>
      <c r="O141" s="26" t="str">
        <f t="shared" si="5"/>
        <v/>
      </c>
      <c r="P141" s="16"/>
    </row>
    <row r="142" ht="15.0" customHeight="1">
      <c r="A142" s="60" t="str">
        <f t="shared" si="1"/>
        <v/>
      </c>
      <c r="B142" s="33"/>
      <c r="C142" s="33"/>
      <c r="D142" s="33"/>
      <c r="E142" s="61"/>
      <c r="F142" s="32"/>
      <c r="G142" s="33"/>
      <c r="H142" s="33"/>
      <c r="I142" s="61">
        <f>IF($A142="",0,SUMIFS('Daily Transactions'!$F$6:$F$500,'Daily Transactions'!$I$6:$I$500,$O142,'Daily Transactions'!$C$6:$C$500,"Expense"))</f>
        <v>0</v>
      </c>
      <c r="J142" s="61" t="str">
        <f t="shared" si="2"/>
        <v/>
      </c>
      <c r="K142" s="60" t="str">
        <f t="shared" si="3"/>
        <v/>
      </c>
      <c r="L142" s="60" t="str">
        <f t="shared" si="4"/>
        <v/>
      </c>
      <c r="M142" s="56" t="str">
        <f>IF($A142="","",IF(I142&gt;=E142,MAXIFS('Daily Transactions'!$A$6:$A$500,'Daily Transactions'!$I$6:$I$500,$O142,'Daily Transactions'!$C$6:$C$500,"Expense"),""))</f>
        <v/>
      </c>
      <c r="N142" s="33"/>
      <c r="O142" s="26" t="str">
        <f t="shared" si="5"/>
        <v/>
      </c>
      <c r="P142" s="33"/>
    </row>
    <row r="143" ht="15.0" customHeight="1">
      <c r="A143" s="29" t="str">
        <f t="shared" si="1"/>
        <v/>
      </c>
      <c r="B143" s="16"/>
      <c r="C143" s="16"/>
      <c r="D143" s="16"/>
      <c r="E143" s="17"/>
      <c r="F143" s="40"/>
      <c r="G143" s="16"/>
      <c r="H143" s="16"/>
      <c r="I143" s="17">
        <f>IF($A143="",0,SUMIFS('Daily Transactions'!$F$6:$F$500,'Daily Transactions'!$I$6:$I$500,$O143,'Daily Transactions'!$C$6:$C$500,"Expense"))</f>
        <v>0</v>
      </c>
      <c r="J143" s="17" t="str">
        <f t="shared" si="2"/>
        <v/>
      </c>
      <c r="K143" s="29" t="str">
        <f t="shared" si="3"/>
        <v/>
      </c>
      <c r="L143" s="29" t="str">
        <f t="shared" si="4"/>
        <v/>
      </c>
      <c r="M143" s="49" t="str">
        <f>IF($A143="","",IF(I143&gt;=E143,MAXIFS('Daily Transactions'!$A$6:$A$500,'Daily Transactions'!$I$6:$I$500,$O143,'Daily Transactions'!$C$6:$C$500,"Expense"),""))</f>
        <v/>
      </c>
      <c r="N143" s="16"/>
      <c r="O143" s="26" t="str">
        <f t="shared" si="5"/>
        <v/>
      </c>
      <c r="P143" s="16"/>
    </row>
    <row r="144" ht="15.0" customHeight="1">
      <c r="A144" s="60" t="str">
        <f t="shared" si="1"/>
        <v/>
      </c>
      <c r="B144" s="33"/>
      <c r="C144" s="33"/>
      <c r="D144" s="33"/>
      <c r="E144" s="61"/>
      <c r="F144" s="32"/>
      <c r="G144" s="33"/>
      <c r="H144" s="33"/>
      <c r="I144" s="61">
        <f>IF($A144="",0,SUMIFS('Daily Transactions'!$F$6:$F$500,'Daily Transactions'!$I$6:$I$500,$O144,'Daily Transactions'!$C$6:$C$500,"Expense"))</f>
        <v>0</v>
      </c>
      <c r="J144" s="61" t="str">
        <f t="shared" si="2"/>
        <v/>
      </c>
      <c r="K144" s="60" t="str">
        <f t="shared" si="3"/>
        <v/>
      </c>
      <c r="L144" s="60" t="str">
        <f t="shared" si="4"/>
        <v/>
      </c>
      <c r="M144" s="56" t="str">
        <f>IF($A144="","",IF(I144&gt;=E144,MAXIFS('Daily Transactions'!$A$6:$A$500,'Daily Transactions'!$I$6:$I$500,$O144,'Daily Transactions'!$C$6:$C$500,"Expense"),""))</f>
        <v/>
      </c>
      <c r="N144" s="33"/>
      <c r="O144" s="26" t="str">
        <f t="shared" si="5"/>
        <v/>
      </c>
      <c r="P144" s="33"/>
    </row>
    <row r="145" ht="15.0" customHeight="1">
      <c r="A145" s="29" t="str">
        <f t="shared" si="1"/>
        <v/>
      </c>
      <c r="B145" s="16"/>
      <c r="C145" s="16"/>
      <c r="D145" s="16"/>
      <c r="E145" s="17"/>
      <c r="F145" s="40"/>
      <c r="G145" s="16"/>
      <c r="H145" s="16"/>
      <c r="I145" s="17">
        <f>IF($A145="",0,SUMIFS('Daily Transactions'!$F$6:$F$500,'Daily Transactions'!$I$6:$I$500,$O145,'Daily Transactions'!$C$6:$C$500,"Expense"))</f>
        <v>0</v>
      </c>
      <c r="J145" s="17" t="str">
        <f t="shared" si="2"/>
        <v/>
      </c>
      <c r="K145" s="29" t="str">
        <f t="shared" si="3"/>
        <v/>
      </c>
      <c r="L145" s="29" t="str">
        <f t="shared" si="4"/>
        <v/>
      </c>
      <c r="M145" s="49" t="str">
        <f>IF($A145="","",IF(I145&gt;=E145,MAXIFS('Daily Transactions'!$A$6:$A$500,'Daily Transactions'!$I$6:$I$500,$O145,'Daily Transactions'!$C$6:$C$500,"Expense"),""))</f>
        <v/>
      </c>
      <c r="N145" s="16"/>
      <c r="O145" s="26" t="str">
        <f t="shared" si="5"/>
        <v/>
      </c>
      <c r="P145" s="16"/>
    </row>
    <row r="146" ht="15.0" customHeight="1">
      <c r="A146" s="60" t="str">
        <f t="shared" si="1"/>
        <v/>
      </c>
      <c r="B146" s="33"/>
      <c r="C146" s="33"/>
      <c r="D146" s="33"/>
      <c r="E146" s="61"/>
      <c r="F146" s="32"/>
      <c r="G146" s="33"/>
      <c r="H146" s="33"/>
      <c r="I146" s="61">
        <f>IF($A146="",0,SUMIFS('Daily Transactions'!$F$6:$F$500,'Daily Transactions'!$I$6:$I$500,$O146,'Daily Transactions'!$C$6:$C$500,"Expense"))</f>
        <v>0</v>
      </c>
      <c r="J146" s="61" t="str">
        <f t="shared" si="2"/>
        <v/>
      </c>
      <c r="K146" s="60" t="str">
        <f t="shared" si="3"/>
        <v/>
      </c>
      <c r="L146" s="60" t="str">
        <f t="shared" si="4"/>
        <v/>
      </c>
      <c r="M146" s="56" t="str">
        <f>IF($A146="","",IF(I146&gt;=E146,MAXIFS('Daily Transactions'!$A$6:$A$500,'Daily Transactions'!$I$6:$I$500,$O146,'Daily Transactions'!$C$6:$C$500,"Expense"),""))</f>
        <v/>
      </c>
      <c r="N146" s="33"/>
      <c r="O146" s="26" t="str">
        <f t="shared" si="5"/>
        <v/>
      </c>
      <c r="P146" s="33"/>
    </row>
    <row r="147" ht="15.0" customHeight="1">
      <c r="A147" s="29" t="str">
        <f t="shared" si="1"/>
        <v/>
      </c>
      <c r="B147" s="16"/>
      <c r="C147" s="16"/>
      <c r="D147" s="16"/>
      <c r="E147" s="17"/>
      <c r="F147" s="40"/>
      <c r="G147" s="16"/>
      <c r="H147" s="16"/>
      <c r="I147" s="17">
        <f>IF($A147="",0,SUMIFS('Daily Transactions'!$F$6:$F$500,'Daily Transactions'!$I$6:$I$500,$O147,'Daily Transactions'!$C$6:$C$500,"Expense"))</f>
        <v>0</v>
      </c>
      <c r="J147" s="17" t="str">
        <f t="shared" si="2"/>
        <v/>
      </c>
      <c r="K147" s="29" t="str">
        <f t="shared" si="3"/>
        <v/>
      </c>
      <c r="L147" s="29" t="str">
        <f t="shared" si="4"/>
        <v/>
      </c>
      <c r="M147" s="49" t="str">
        <f>IF($A147="","",IF(I147&gt;=E147,MAXIFS('Daily Transactions'!$A$6:$A$500,'Daily Transactions'!$I$6:$I$500,$O147,'Daily Transactions'!$C$6:$C$500,"Expense"),""))</f>
        <v/>
      </c>
      <c r="N147" s="16"/>
      <c r="O147" s="26" t="str">
        <f t="shared" si="5"/>
        <v/>
      </c>
      <c r="P147" s="16"/>
    </row>
    <row r="148" ht="15.0" customHeight="1">
      <c r="A148" s="60" t="str">
        <f t="shared" si="1"/>
        <v/>
      </c>
      <c r="B148" s="33"/>
      <c r="C148" s="33"/>
      <c r="D148" s="33"/>
      <c r="E148" s="61"/>
      <c r="F148" s="32"/>
      <c r="G148" s="33"/>
      <c r="H148" s="33"/>
      <c r="I148" s="61">
        <f>IF($A148="",0,SUMIFS('Daily Transactions'!$F$6:$F$500,'Daily Transactions'!$I$6:$I$500,$O148,'Daily Transactions'!$C$6:$C$500,"Expense"))</f>
        <v>0</v>
      </c>
      <c r="J148" s="61" t="str">
        <f t="shared" si="2"/>
        <v/>
      </c>
      <c r="K148" s="60" t="str">
        <f t="shared" si="3"/>
        <v/>
      </c>
      <c r="L148" s="60" t="str">
        <f t="shared" si="4"/>
        <v/>
      </c>
      <c r="M148" s="56" t="str">
        <f>IF($A148="","",IF(I148&gt;=E148,MAXIFS('Daily Transactions'!$A$6:$A$500,'Daily Transactions'!$I$6:$I$500,$O148,'Daily Transactions'!$C$6:$C$500,"Expense"),""))</f>
        <v/>
      </c>
      <c r="N148" s="33"/>
      <c r="O148" s="26" t="str">
        <f t="shared" si="5"/>
        <v/>
      </c>
      <c r="P148" s="33"/>
    </row>
    <row r="149" ht="15.0" customHeight="1">
      <c r="A149" s="29" t="str">
        <f t="shared" si="1"/>
        <v/>
      </c>
      <c r="B149" s="16"/>
      <c r="C149" s="16"/>
      <c r="D149" s="16"/>
      <c r="E149" s="17"/>
      <c r="F149" s="40"/>
      <c r="G149" s="16"/>
      <c r="H149" s="16"/>
      <c r="I149" s="17">
        <f>IF($A149="",0,SUMIFS('Daily Transactions'!$F$6:$F$500,'Daily Transactions'!$I$6:$I$500,$O149,'Daily Transactions'!$C$6:$C$500,"Expense"))</f>
        <v>0</v>
      </c>
      <c r="J149" s="17" t="str">
        <f t="shared" si="2"/>
        <v/>
      </c>
      <c r="K149" s="29" t="str">
        <f t="shared" si="3"/>
        <v/>
      </c>
      <c r="L149" s="29" t="str">
        <f t="shared" si="4"/>
        <v/>
      </c>
      <c r="M149" s="49" t="str">
        <f>IF($A149="","",IF(I149&gt;=E149,MAXIFS('Daily Transactions'!$A$6:$A$500,'Daily Transactions'!$I$6:$I$500,$O149,'Daily Transactions'!$C$6:$C$500,"Expense"),""))</f>
        <v/>
      </c>
      <c r="N149" s="16"/>
      <c r="O149" s="26" t="str">
        <f t="shared" si="5"/>
        <v/>
      </c>
      <c r="P149" s="16"/>
    </row>
    <row r="150" ht="15.0" customHeight="1">
      <c r="A150" s="60" t="str">
        <f t="shared" si="1"/>
        <v/>
      </c>
      <c r="B150" s="33"/>
      <c r="C150" s="33"/>
      <c r="D150" s="33"/>
      <c r="E150" s="61"/>
      <c r="F150" s="32"/>
      <c r="G150" s="33"/>
      <c r="H150" s="33"/>
      <c r="I150" s="61">
        <f>IF($A150="",0,SUMIFS('Daily Transactions'!$F$6:$F$500,'Daily Transactions'!$I$6:$I$500,$O150,'Daily Transactions'!$C$6:$C$500,"Expense"))</f>
        <v>0</v>
      </c>
      <c r="J150" s="61" t="str">
        <f t="shared" si="2"/>
        <v/>
      </c>
      <c r="K150" s="60" t="str">
        <f t="shared" si="3"/>
        <v/>
      </c>
      <c r="L150" s="60" t="str">
        <f t="shared" si="4"/>
        <v/>
      </c>
      <c r="M150" s="56" t="str">
        <f>IF($A150="","",IF(I150&gt;=E150,MAXIFS('Daily Transactions'!$A$6:$A$500,'Daily Transactions'!$I$6:$I$500,$O150,'Daily Transactions'!$C$6:$C$500,"Expense"),""))</f>
        <v/>
      </c>
      <c r="N150" s="33"/>
      <c r="O150" s="26" t="str">
        <f t="shared" si="5"/>
        <v/>
      </c>
      <c r="P150" s="33"/>
    </row>
    <row r="151" ht="15.0" customHeight="1">
      <c r="A151" s="29" t="str">
        <f t="shared" si="1"/>
        <v/>
      </c>
      <c r="B151" s="16"/>
      <c r="C151" s="16"/>
      <c r="D151" s="16"/>
      <c r="E151" s="17"/>
      <c r="F151" s="40"/>
      <c r="G151" s="16"/>
      <c r="H151" s="16"/>
      <c r="I151" s="17">
        <f>IF($A151="",0,SUMIFS('Daily Transactions'!$F$6:$F$500,'Daily Transactions'!$I$6:$I$500,$O151,'Daily Transactions'!$C$6:$C$500,"Expense"))</f>
        <v>0</v>
      </c>
      <c r="J151" s="17" t="str">
        <f t="shared" si="2"/>
        <v/>
      </c>
      <c r="K151" s="29" t="str">
        <f t="shared" si="3"/>
        <v/>
      </c>
      <c r="L151" s="29" t="str">
        <f t="shared" si="4"/>
        <v/>
      </c>
      <c r="M151" s="49" t="str">
        <f>IF($A151="","",IF(I151&gt;=E151,MAXIFS('Daily Transactions'!$A$6:$A$500,'Daily Transactions'!$I$6:$I$500,$O151,'Daily Transactions'!$C$6:$C$500,"Expense"),""))</f>
        <v/>
      </c>
      <c r="N151" s="16"/>
      <c r="O151" s="26" t="str">
        <f t="shared" si="5"/>
        <v/>
      </c>
      <c r="P151" s="16"/>
    </row>
    <row r="152" ht="15.0" customHeight="1">
      <c r="A152" s="60" t="str">
        <f t="shared" si="1"/>
        <v/>
      </c>
      <c r="B152" s="33"/>
      <c r="C152" s="33"/>
      <c r="D152" s="33"/>
      <c r="E152" s="61"/>
      <c r="F152" s="32"/>
      <c r="G152" s="33"/>
      <c r="H152" s="33"/>
      <c r="I152" s="61">
        <f>IF($A152="",0,SUMIFS('Daily Transactions'!$F$6:$F$500,'Daily Transactions'!$I$6:$I$500,$O152,'Daily Transactions'!$C$6:$C$500,"Expense"))</f>
        <v>0</v>
      </c>
      <c r="J152" s="61" t="str">
        <f t="shared" si="2"/>
        <v/>
      </c>
      <c r="K152" s="60" t="str">
        <f t="shared" si="3"/>
        <v/>
      </c>
      <c r="L152" s="60" t="str">
        <f t="shared" si="4"/>
        <v/>
      </c>
      <c r="M152" s="56" t="str">
        <f>IF($A152="","",IF(I152&gt;=E152,MAXIFS('Daily Transactions'!$A$6:$A$500,'Daily Transactions'!$I$6:$I$500,$O152,'Daily Transactions'!$C$6:$C$500,"Expense"),""))</f>
        <v/>
      </c>
      <c r="N152" s="33"/>
      <c r="O152" s="26" t="str">
        <f t="shared" si="5"/>
        <v/>
      </c>
      <c r="P152" s="33"/>
    </row>
    <row r="153" ht="15.0" customHeight="1">
      <c r="A153" s="29" t="str">
        <f t="shared" si="1"/>
        <v/>
      </c>
      <c r="B153" s="16"/>
      <c r="C153" s="16"/>
      <c r="D153" s="16"/>
      <c r="E153" s="17"/>
      <c r="F153" s="40"/>
      <c r="G153" s="16"/>
      <c r="H153" s="16"/>
      <c r="I153" s="17">
        <f>IF($A153="",0,SUMIFS('Daily Transactions'!$F$6:$F$500,'Daily Transactions'!$I$6:$I$500,$O153,'Daily Transactions'!$C$6:$C$500,"Expense"))</f>
        <v>0</v>
      </c>
      <c r="J153" s="17" t="str">
        <f t="shared" si="2"/>
        <v/>
      </c>
      <c r="K153" s="29" t="str">
        <f t="shared" si="3"/>
        <v/>
      </c>
      <c r="L153" s="29" t="str">
        <f t="shared" si="4"/>
        <v/>
      </c>
      <c r="M153" s="49" t="str">
        <f>IF($A153="","",IF(I153&gt;=E153,MAXIFS('Daily Transactions'!$A$6:$A$500,'Daily Transactions'!$I$6:$I$500,$O153,'Daily Transactions'!$C$6:$C$500,"Expense"),""))</f>
        <v/>
      </c>
      <c r="N153" s="16"/>
      <c r="O153" s="26" t="str">
        <f t="shared" si="5"/>
        <v/>
      </c>
      <c r="P153" s="16"/>
    </row>
    <row r="154" ht="15.0" customHeight="1">
      <c r="A154" s="60" t="str">
        <f t="shared" si="1"/>
        <v/>
      </c>
      <c r="B154" s="33"/>
      <c r="C154" s="33"/>
      <c r="D154" s="33"/>
      <c r="E154" s="61"/>
      <c r="F154" s="32"/>
      <c r="G154" s="33"/>
      <c r="H154" s="33"/>
      <c r="I154" s="61">
        <f>IF($A154="",0,SUMIFS('Daily Transactions'!$F$6:$F$500,'Daily Transactions'!$I$6:$I$500,$O154,'Daily Transactions'!$C$6:$C$500,"Expense"))</f>
        <v>0</v>
      </c>
      <c r="J154" s="61" t="str">
        <f t="shared" si="2"/>
        <v/>
      </c>
      <c r="K154" s="60" t="str">
        <f t="shared" si="3"/>
        <v/>
      </c>
      <c r="L154" s="60" t="str">
        <f t="shared" si="4"/>
        <v/>
      </c>
      <c r="M154" s="56" t="str">
        <f>IF($A154="","",IF(I154&gt;=E154,MAXIFS('Daily Transactions'!$A$6:$A$500,'Daily Transactions'!$I$6:$I$500,$O154,'Daily Transactions'!$C$6:$C$500,"Expense"),""))</f>
        <v/>
      </c>
      <c r="N154" s="33"/>
      <c r="O154" s="26" t="str">
        <f t="shared" si="5"/>
        <v/>
      </c>
      <c r="P154" s="33"/>
    </row>
    <row r="155" ht="15.0" customHeight="1">
      <c r="A155" s="29" t="str">
        <f t="shared" si="1"/>
        <v/>
      </c>
      <c r="B155" s="16"/>
      <c r="C155" s="16"/>
      <c r="D155" s="16"/>
      <c r="E155" s="17"/>
      <c r="F155" s="40"/>
      <c r="G155" s="16"/>
      <c r="H155" s="16"/>
      <c r="I155" s="17">
        <f>IF($A155="",0,SUMIFS('Daily Transactions'!$F$6:$F$500,'Daily Transactions'!$I$6:$I$500,$O155,'Daily Transactions'!$C$6:$C$500,"Expense"))</f>
        <v>0</v>
      </c>
      <c r="J155" s="17" t="str">
        <f t="shared" si="2"/>
        <v/>
      </c>
      <c r="K155" s="29" t="str">
        <f t="shared" si="3"/>
        <v/>
      </c>
      <c r="L155" s="29" t="str">
        <f t="shared" si="4"/>
        <v/>
      </c>
      <c r="M155" s="49" t="str">
        <f>IF($A155="","",IF(I155&gt;=E155,MAXIFS('Daily Transactions'!$A$6:$A$500,'Daily Transactions'!$I$6:$I$500,$O155,'Daily Transactions'!$C$6:$C$500,"Expense"),""))</f>
        <v/>
      </c>
      <c r="N155" s="16"/>
      <c r="O155" s="26" t="str">
        <f t="shared" si="5"/>
        <v/>
      </c>
      <c r="P155" s="16"/>
    </row>
    <row r="156" ht="15.0" customHeight="1">
      <c r="A156" s="60" t="str">
        <f t="shared" si="1"/>
        <v/>
      </c>
      <c r="B156" s="33"/>
      <c r="C156" s="33"/>
      <c r="D156" s="33"/>
      <c r="E156" s="61"/>
      <c r="F156" s="32"/>
      <c r="G156" s="33"/>
      <c r="H156" s="33"/>
      <c r="I156" s="61">
        <f>IF($A156="",0,SUMIFS('Daily Transactions'!$F$6:$F$500,'Daily Transactions'!$I$6:$I$500,$O156,'Daily Transactions'!$C$6:$C$500,"Expense"))</f>
        <v>0</v>
      </c>
      <c r="J156" s="61" t="str">
        <f t="shared" si="2"/>
        <v/>
      </c>
      <c r="K156" s="60" t="str">
        <f t="shared" si="3"/>
        <v/>
      </c>
      <c r="L156" s="60" t="str">
        <f t="shared" si="4"/>
        <v/>
      </c>
      <c r="M156" s="56" t="str">
        <f>IF($A156="","",IF(I156&gt;=E156,MAXIFS('Daily Transactions'!$A$6:$A$500,'Daily Transactions'!$I$6:$I$500,$O156,'Daily Transactions'!$C$6:$C$500,"Expense"),""))</f>
        <v/>
      </c>
      <c r="N156" s="33"/>
      <c r="O156" s="26" t="str">
        <f t="shared" si="5"/>
        <v/>
      </c>
      <c r="P156" s="33"/>
    </row>
    <row r="157" ht="15.0" customHeight="1">
      <c r="A157" s="29" t="str">
        <f t="shared" si="1"/>
        <v/>
      </c>
      <c r="B157" s="16"/>
      <c r="C157" s="16"/>
      <c r="D157" s="16"/>
      <c r="E157" s="17"/>
      <c r="F157" s="40"/>
      <c r="G157" s="16"/>
      <c r="H157" s="16"/>
      <c r="I157" s="17">
        <f>IF($A157="",0,SUMIFS('Daily Transactions'!$F$6:$F$500,'Daily Transactions'!$I$6:$I$500,$O157,'Daily Transactions'!$C$6:$C$500,"Expense"))</f>
        <v>0</v>
      </c>
      <c r="J157" s="17" t="str">
        <f t="shared" si="2"/>
        <v/>
      </c>
      <c r="K157" s="29" t="str">
        <f t="shared" si="3"/>
        <v/>
      </c>
      <c r="L157" s="29" t="str">
        <f t="shared" si="4"/>
        <v/>
      </c>
      <c r="M157" s="49" t="str">
        <f>IF($A157="","",IF(I157&gt;=E157,MAXIFS('Daily Transactions'!$A$6:$A$500,'Daily Transactions'!$I$6:$I$500,$O157,'Daily Transactions'!$C$6:$C$500,"Expense"),""))</f>
        <v/>
      </c>
      <c r="N157" s="16"/>
      <c r="O157" s="26" t="str">
        <f t="shared" si="5"/>
        <v/>
      </c>
      <c r="P157" s="16"/>
    </row>
    <row r="158" ht="15.0" customHeight="1">
      <c r="A158" s="60" t="str">
        <f t="shared" si="1"/>
        <v/>
      </c>
      <c r="B158" s="33"/>
      <c r="C158" s="33"/>
      <c r="D158" s="33"/>
      <c r="E158" s="61"/>
      <c r="F158" s="32"/>
      <c r="G158" s="33"/>
      <c r="H158" s="33"/>
      <c r="I158" s="61">
        <f>IF($A158="",0,SUMIFS('Daily Transactions'!$F$6:$F$500,'Daily Transactions'!$I$6:$I$500,$O158,'Daily Transactions'!$C$6:$C$500,"Expense"))</f>
        <v>0</v>
      </c>
      <c r="J158" s="61" t="str">
        <f t="shared" si="2"/>
        <v/>
      </c>
      <c r="K158" s="60" t="str">
        <f t="shared" si="3"/>
        <v/>
      </c>
      <c r="L158" s="60" t="str">
        <f t="shared" si="4"/>
        <v/>
      </c>
      <c r="M158" s="56" t="str">
        <f>IF($A158="","",IF(I158&gt;=E158,MAXIFS('Daily Transactions'!$A$6:$A$500,'Daily Transactions'!$I$6:$I$500,$O158,'Daily Transactions'!$C$6:$C$500,"Expense"),""))</f>
        <v/>
      </c>
      <c r="N158" s="33"/>
      <c r="O158" s="26" t="str">
        <f t="shared" si="5"/>
        <v/>
      </c>
      <c r="P158" s="33"/>
    </row>
    <row r="159" ht="15.0" customHeight="1">
      <c r="A159" s="29" t="str">
        <f t="shared" si="1"/>
        <v/>
      </c>
      <c r="B159" s="16"/>
      <c r="C159" s="16"/>
      <c r="D159" s="16"/>
      <c r="E159" s="17"/>
      <c r="F159" s="40"/>
      <c r="G159" s="16"/>
      <c r="H159" s="16"/>
      <c r="I159" s="17">
        <f>IF($A159="",0,SUMIFS('Daily Transactions'!$F$6:$F$500,'Daily Transactions'!$I$6:$I$500,$O159,'Daily Transactions'!$C$6:$C$500,"Expense"))</f>
        <v>0</v>
      </c>
      <c r="J159" s="17" t="str">
        <f t="shared" si="2"/>
        <v/>
      </c>
      <c r="K159" s="29" t="str">
        <f t="shared" si="3"/>
        <v/>
      </c>
      <c r="L159" s="29" t="str">
        <f t="shared" si="4"/>
        <v/>
      </c>
      <c r="M159" s="49" t="str">
        <f>IF($A159="","",IF(I159&gt;=E159,MAXIFS('Daily Transactions'!$A$6:$A$500,'Daily Transactions'!$I$6:$I$500,$O159,'Daily Transactions'!$C$6:$C$500,"Expense"),""))</f>
        <v/>
      </c>
      <c r="N159" s="16"/>
      <c r="O159" s="26" t="str">
        <f t="shared" si="5"/>
        <v/>
      </c>
      <c r="P159" s="16"/>
    </row>
    <row r="160" ht="15.0" customHeight="1">
      <c r="A160" s="60" t="str">
        <f t="shared" si="1"/>
        <v/>
      </c>
      <c r="B160" s="33"/>
      <c r="C160" s="33"/>
      <c r="D160" s="33"/>
      <c r="E160" s="61"/>
      <c r="F160" s="32"/>
      <c r="G160" s="33"/>
      <c r="H160" s="33"/>
      <c r="I160" s="61">
        <f>IF($A160="",0,SUMIFS('Daily Transactions'!$F$6:$F$500,'Daily Transactions'!$I$6:$I$500,$O160,'Daily Transactions'!$C$6:$C$500,"Expense"))</f>
        <v>0</v>
      </c>
      <c r="J160" s="61" t="str">
        <f t="shared" si="2"/>
        <v/>
      </c>
      <c r="K160" s="60" t="str">
        <f t="shared" si="3"/>
        <v/>
      </c>
      <c r="L160" s="60" t="str">
        <f t="shared" si="4"/>
        <v/>
      </c>
      <c r="M160" s="56" t="str">
        <f>IF($A160="","",IF(I160&gt;=E160,MAXIFS('Daily Transactions'!$A$6:$A$500,'Daily Transactions'!$I$6:$I$500,$O160,'Daily Transactions'!$C$6:$C$500,"Expense"),""))</f>
        <v/>
      </c>
      <c r="N160" s="33"/>
      <c r="O160" s="26" t="str">
        <f t="shared" si="5"/>
        <v/>
      </c>
      <c r="P160" s="33"/>
    </row>
    <row r="161" ht="15.0" customHeight="1">
      <c r="A161" s="29" t="str">
        <f t="shared" si="1"/>
        <v/>
      </c>
      <c r="B161" s="16"/>
      <c r="C161" s="16"/>
      <c r="D161" s="16"/>
      <c r="E161" s="17"/>
      <c r="F161" s="40"/>
      <c r="G161" s="16"/>
      <c r="H161" s="16"/>
      <c r="I161" s="17">
        <f>IF($A161="",0,SUMIFS('Daily Transactions'!$F$6:$F$500,'Daily Transactions'!$I$6:$I$500,$O161,'Daily Transactions'!$C$6:$C$500,"Expense"))</f>
        <v>0</v>
      </c>
      <c r="J161" s="17" t="str">
        <f t="shared" si="2"/>
        <v/>
      </c>
      <c r="K161" s="29" t="str">
        <f t="shared" si="3"/>
        <v/>
      </c>
      <c r="L161" s="29" t="str">
        <f t="shared" si="4"/>
        <v/>
      </c>
      <c r="M161" s="49" t="str">
        <f>IF($A161="","",IF(I161&gt;=E161,MAXIFS('Daily Transactions'!$A$6:$A$500,'Daily Transactions'!$I$6:$I$500,$O161,'Daily Transactions'!$C$6:$C$500,"Expense"),""))</f>
        <v/>
      </c>
      <c r="N161" s="16"/>
      <c r="O161" s="26" t="str">
        <f t="shared" si="5"/>
        <v/>
      </c>
      <c r="P161" s="16"/>
    </row>
    <row r="162" ht="15.0" customHeight="1">
      <c r="A162" s="60" t="str">
        <f t="shared" si="1"/>
        <v/>
      </c>
      <c r="B162" s="33"/>
      <c r="C162" s="33"/>
      <c r="D162" s="33"/>
      <c r="E162" s="61"/>
      <c r="F162" s="32"/>
      <c r="G162" s="33"/>
      <c r="H162" s="33"/>
      <c r="I162" s="61">
        <f>IF($A162="",0,SUMIFS('Daily Transactions'!$F$6:$F$500,'Daily Transactions'!$I$6:$I$500,$O162,'Daily Transactions'!$C$6:$C$500,"Expense"))</f>
        <v>0</v>
      </c>
      <c r="J162" s="61" t="str">
        <f t="shared" si="2"/>
        <v/>
      </c>
      <c r="K162" s="60" t="str">
        <f t="shared" si="3"/>
        <v/>
      </c>
      <c r="L162" s="60" t="str">
        <f t="shared" si="4"/>
        <v/>
      </c>
      <c r="M162" s="56" t="str">
        <f>IF($A162="","",IF(I162&gt;=E162,MAXIFS('Daily Transactions'!$A$6:$A$500,'Daily Transactions'!$I$6:$I$500,$O162,'Daily Transactions'!$C$6:$C$500,"Expense"),""))</f>
        <v/>
      </c>
      <c r="N162" s="33"/>
      <c r="O162" s="26" t="str">
        <f t="shared" si="5"/>
        <v/>
      </c>
      <c r="P162" s="33"/>
    </row>
    <row r="163" ht="15.0" customHeight="1">
      <c r="A163" s="29" t="str">
        <f t="shared" si="1"/>
        <v/>
      </c>
      <c r="B163" s="16"/>
      <c r="C163" s="16"/>
      <c r="D163" s="16"/>
      <c r="E163" s="17"/>
      <c r="F163" s="40"/>
      <c r="G163" s="16"/>
      <c r="H163" s="16"/>
      <c r="I163" s="17">
        <f>IF($A163="",0,SUMIFS('Daily Transactions'!$F$6:$F$500,'Daily Transactions'!$I$6:$I$500,$O163,'Daily Transactions'!$C$6:$C$500,"Expense"))</f>
        <v>0</v>
      </c>
      <c r="J163" s="17" t="str">
        <f t="shared" si="2"/>
        <v/>
      </c>
      <c r="K163" s="29" t="str">
        <f t="shared" si="3"/>
        <v/>
      </c>
      <c r="L163" s="29" t="str">
        <f t="shared" si="4"/>
        <v/>
      </c>
      <c r="M163" s="49" t="str">
        <f>IF($A163="","",IF(I163&gt;=E163,MAXIFS('Daily Transactions'!$A$6:$A$500,'Daily Transactions'!$I$6:$I$500,$O163,'Daily Transactions'!$C$6:$C$500,"Expense"),""))</f>
        <v/>
      </c>
      <c r="N163" s="16"/>
      <c r="O163" s="26" t="str">
        <f t="shared" si="5"/>
        <v/>
      </c>
      <c r="P163" s="16"/>
    </row>
    <row r="164" ht="15.0" customHeight="1">
      <c r="A164" s="60" t="str">
        <f t="shared" si="1"/>
        <v/>
      </c>
      <c r="B164" s="33"/>
      <c r="C164" s="33"/>
      <c r="D164" s="33"/>
      <c r="E164" s="61"/>
      <c r="F164" s="32"/>
      <c r="G164" s="33"/>
      <c r="H164" s="33"/>
      <c r="I164" s="61">
        <f>IF($A164="",0,SUMIFS('Daily Transactions'!$F$6:$F$500,'Daily Transactions'!$I$6:$I$500,$O164,'Daily Transactions'!$C$6:$C$500,"Expense"))</f>
        <v>0</v>
      </c>
      <c r="J164" s="61" t="str">
        <f t="shared" si="2"/>
        <v/>
      </c>
      <c r="K164" s="60" t="str">
        <f t="shared" si="3"/>
        <v/>
      </c>
      <c r="L164" s="60" t="str">
        <f t="shared" si="4"/>
        <v/>
      </c>
      <c r="M164" s="56" t="str">
        <f>IF($A164="","",IF(I164&gt;=E164,MAXIFS('Daily Transactions'!$A$6:$A$500,'Daily Transactions'!$I$6:$I$500,$O164,'Daily Transactions'!$C$6:$C$500,"Expense"),""))</f>
        <v/>
      </c>
      <c r="N164" s="33"/>
      <c r="O164" s="26" t="str">
        <f t="shared" si="5"/>
        <v/>
      </c>
      <c r="P164" s="33"/>
    </row>
    <row r="165" ht="15.0" customHeight="1">
      <c r="A165" s="29" t="str">
        <f t="shared" si="1"/>
        <v/>
      </c>
      <c r="B165" s="16"/>
      <c r="C165" s="16"/>
      <c r="D165" s="16"/>
      <c r="E165" s="17"/>
      <c r="F165" s="40"/>
      <c r="G165" s="16"/>
      <c r="H165" s="16"/>
      <c r="I165" s="17">
        <f>IF($A165="",0,SUMIFS('Daily Transactions'!$F$6:$F$500,'Daily Transactions'!$I$6:$I$500,$O165,'Daily Transactions'!$C$6:$C$500,"Expense"))</f>
        <v>0</v>
      </c>
      <c r="J165" s="17" t="str">
        <f t="shared" si="2"/>
        <v/>
      </c>
      <c r="K165" s="29" t="str">
        <f t="shared" si="3"/>
        <v/>
      </c>
      <c r="L165" s="29" t="str">
        <f t="shared" si="4"/>
        <v/>
      </c>
      <c r="M165" s="49" t="str">
        <f>IF($A165="","",IF(I165&gt;=E165,MAXIFS('Daily Transactions'!$A$6:$A$500,'Daily Transactions'!$I$6:$I$500,$O165,'Daily Transactions'!$C$6:$C$500,"Expense"),""))</f>
        <v/>
      </c>
      <c r="N165" s="16"/>
      <c r="O165" s="26" t="str">
        <f t="shared" si="5"/>
        <v/>
      </c>
      <c r="P165" s="16"/>
    </row>
    <row r="166" ht="15.0" customHeight="1">
      <c r="A166" s="60" t="str">
        <f t="shared" si="1"/>
        <v/>
      </c>
      <c r="B166" s="33"/>
      <c r="C166" s="33"/>
      <c r="D166" s="33"/>
      <c r="E166" s="61"/>
      <c r="F166" s="32"/>
      <c r="G166" s="33"/>
      <c r="H166" s="33"/>
      <c r="I166" s="61">
        <f>IF($A166="",0,SUMIFS('Daily Transactions'!$F$6:$F$500,'Daily Transactions'!$I$6:$I$500,$O166,'Daily Transactions'!$C$6:$C$500,"Expense"))</f>
        <v>0</v>
      </c>
      <c r="J166" s="61" t="str">
        <f t="shared" si="2"/>
        <v/>
      </c>
      <c r="K166" s="60" t="str">
        <f t="shared" si="3"/>
        <v/>
      </c>
      <c r="L166" s="60" t="str">
        <f t="shared" si="4"/>
        <v/>
      </c>
      <c r="M166" s="56" t="str">
        <f>IF($A166="","",IF(I166&gt;=E166,MAXIFS('Daily Transactions'!$A$6:$A$500,'Daily Transactions'!$I$6:$I$500,$O166,'Daily Transactions'!$C$6:$C$500,"Expense"),""))</f>
        <v/>
      </c>
      <c r="N166" s="33"/>
      <c r="O166" s="26" t="str">
        <f t="shared" si="5"/>
        <v/>
      </c>
      <c r="P166" s="33"/>
    </row>
    <row r="167" ht="15.0" customHeight="1">
      <c r="A167" s="29" t="str">
        <f t="shared" si="1"/>
        <v/>
      </c>
      <c r="B167" s="16"/>
      <c r="C167" s="16"/>
      <c r="D167" s="16"/>
      <c r="E167" s="17"/>
      <c r="F167" s="40"/>
      <c r="G167" s="16"/>
      <c r="H167" s="16"/>
      <c r="I167" s="17">
        <f>IF($A167="",0,SUMIFS('Daily Transactions'!$F$6:$F$500,'Daily Transactions'!$I$6:$I$500,$O167,'Daily Transactions'!$C$6:$C$500,"Expense"))</f>
        <v>0</v>
      </c>
      <c r="J167" s="17" t="str">
        <f t="shared" si="2"/>
        <v/>
      </c>
      <c r="K167" s="29" t="str">
        <f t="shared" si="3"/>
        <v/>
      </c>
      <c r="L167" s="29" t="str">
        <f t="shared" si="4"/>
        <v/>
      </c>
      <c r="M167" s="49" t="str">
        <f>IF($A167="","",IF(I167&gt;=E167,MAXIFS('Daily Transactions'!$A$6:$A$500,'Daily Transactions'!$I$6:$I$500,$O167,'Daily Transactions'!$C$6:$C$500,"Expense"),""))</f>
        <v/>
      </c>
      <c r="N167" s="16"/>
      <c r="O167" s="26" t="str">
        <f t="shared" si="5"/>
        <v/>
      </c>
      <c r="P167" s="16"/>
    </row>
    <row r="168" ht="15.0" customHeight="1">
      <c r="A168" s="60" t="str">
        <f t="shared" si="1"/>
        <v/>
      </c>
      <c r="B168" s="33"/>
      <c r="C168" s="33"/>
      <c r="D168" s="33"/>
      <c r="E168" s="61"/>
      <c r="F168" s="32"/>
      <c r="G168" s="33"/>
      <c r="H168" s="33"/>
      <c r="I168" s="61">
        <f>IF($A168="",0,SUMIFS('Daily Transactions'!$F$6:$F$500,'Daily Transactions'!$I$6:$I$500,$O168,'Daily Transactions'!$C$6:$C$500,"Expense"))</f>
        <v>0</v>
      </c>
      <c r="J168" s="61" t="str">
        <f t="shared" si="2"/>
        <v/>
      </c>
      <c r="K168" s="60" t="str">
        <f t="shared" si="3"/>
        <v/>
      </c>
      <c r="L168" s="60" t="str">
        <f t="shared" si="4"/>
        <v/>
      </c>
      <c r="M168" s="56" t="str">
        <f>IF($A168="","",IF(I168&gt;=E168,MAXIFS('Daily Transactions'!$A$6:$A$500,'Daily Transactions'!$I$6:$I$500,$O168,'Daily Transactions'!$C$6:$C$500,"Expense"),""))</f>
        <v/>
      </c>
      <c r="N168" s="33"/>
      <c r="O168" s="26" t="str">
        <f t="shared" si="5"/>
        <v/>
      </c>
      <c r="P168" s="33"/>
    </row>
    <row r="169" ht="15.0" customHeight="1">
      <c r="A169" s="29" t="str">
        <f t="shared" si="1"/>
        <v/>
      </c>
      <c r="B169" s="16"/>
      <c r="C169" s="16"/>
      <c r="D169" s="16"/>
      <c r="E169" s="17"/>
      <c r="F169" s="40"/>
      <c r="G169" s="16"/>
      <c r="H169" s="16"/>
      <c r="I169" s="17">
        <f>IF($A169="",0,SUMIFS('Daily Transactions'!$F$6:$F$500,'Daily Transactions'!$I$6:$I$500,$O169,'Daily Transactions'!$C$6:$C$500,"Expense"))</f>
        <v>0</v>
      </c>
      <c r="J169" s="17" t="str">
        <f t="shared" si="2"/>
        <v/>
      </c>
      <c r="K169" s="29" t="str">
        <f t="shared" si="3"/>
        <v/>
      </c>
      <c r="L169" s="29" t="str">
        <f t="shared" si="4"/>
        <v/>
      </c>
      <c r="M169" s="49" t="str">
        <f>IF($A169="","",IF(I169&gt;=E169,MAXIFS('Daily Transactions'!$A$6:$A$500,'Daily Transactions'!$I$6:$I$500,$O169,'Daily Transactions'!$C$6:$C$500,"Expense"),""))</f>
        <v/>
      </c>
      <c r="N169" s="16"/>
      <c r="O169" s="26" t="str">
        <f t="shared" si="5"/>
        <v/>
      </c>
      <c r="P169" s="16"/>
    </row>
    <row r="170" ht="15.0" customHeight="1">
      <c r="A170" s="60" t="str">
        <f t="shared" si="1"/>
        <v/>
      </c>
      <c r="B170" s="33"/>
      <c r="C170" s="33"/>
      <c r="D170" s="33"/>
      <c r="E170" s="61"/>
      <c r="F170" s="32"/>
      <c r="G170" s="33"/>
      <c r="H170" s="33"/>
      <c r="I170" s="61">
        <f>IF($A170="",0,SUMIFS('Daily Transactions'!$F$6:$F$500,'Daily Transactions'!$I$6:$I$500,$O170,'Daily Transactions'!$C$6:$C$500,"Expense"))</f>
        <v>0</v>
      </c>
      <c r="J170" s="61" t="str">
        <f t="shared" si="2"/>
        <v/>
      </c>
      <c r="K170" s="60" t="str">
        <f t="shared" si="3"/>
        <v/>
      </c>
      <c r="L170" s="60" t="str">
        <f t="shared" si="4"/>
        <v/>
      </c>
      <c r="M170" s="56" t="str">
        <f>IF($A170="","",IF(I170&gt;=E170,MAXIFS('Daily Transactions'!$A$6:$A$500,'Daily Transactions'!$I$6:$I$500,$O170,'Daily Transactions'!$C$6:$C$500,"Expense"),""))</f>
        <v/>
      </c>
      <c r="N170" s="33"/>
      <c r="O170" s="26" t="str">
        <f t="shared" si="5"/>
        <v/>
      </c>
      <c r="P170" s="33"/>
    </row>
    <row r="171" ht="15.0" customHeight="1">
      <c r="A171" s="29" t="str">
        <f t="shared" si="1"/>
        <v/>
      </c>
      <c r="B171" s="16"/>
      <c r="C171" s="16"/>
      <c r="D171" s="16"/>
      <c r="E171" s="17"/>
      <c r="F171" s="40"/>
      <c r="G171" s="16"/>
      <c r="H171" s="16"/>
      <c r="I171" s="17">
        <f>IF($A171="",0,SUMIFS('Daily Transactions'!$F$6:$F$500,'Daily Transactions'!$I$6:$I$500,$O171,'Daily Transactions'!$C$6:$C$500,"Expense"))</f>
        <v>0</v>
      </c>
      <c r="J171" s="17" t="str">
        <f t="shared" si="2"/>
        <v/>
      </c>
      <c r="K171" s="29" t="str">
        <f t="shared" si="3"/>
        <v/>
      </c>
      <c r="L171" s="29" t="str">
        <f t="shared" si="4"/>
        <v/>
      </c>
      <c r="M171" s="49" t="str">
        <f>IF($A171="","",IF(I171&gt;=E171,MAXIFS('Daily Transactions'!$A$6:$A$500,'Daily Transactions'!$I$6:$I$500,$O171,'Daily Transactions'!$C$6:$C$500,"Expense"),""))</f>
        <v/>
      </c>
      <c r="N171" s="16"/>
      <c r="O171" s="26" t="str">
        <f t="shared" si="5"/>
        <v/>
      </c>
      <c r="P171" s="16"/>
    </row>
    <row r="172" ht="15.0" customHeight="1">
      <c r="A172" s="60" t="str">
        <f t="shared" si="1"/>
        <v/>
      </c>
      <c r="B172" s="33"/>
      <c r="C172" s="33"/>
      <c r="D172" s="33"/>
      <c r="E172" s="61"/>
      <c r="F172" s="32"/>
      <c r="G172" s="33"/>
      <c r="H172" s="33"/>
      <c r="I172" s="61">
        <f>IF($A172="",0,SUMIFS('Daily Transactions'!$F$6:$F$500,'Daily Transactions'!$I$6:$I$500,$O172,'Daily Transactions'!$C$6:$C$500,"Expense"))</f>
        <v>0</v>
      </c>
      <c r="J172" s="61" t="str">
        <f t="shared" si="2"/>
        <v/>
      </c>
      <c r="K172" s="60" t="str">
        <f t="shared" si="3"/>
        <v/>
      </c>
      <c r="L172" s="60" t="str">
        <f t="shared" si="4"/>
        <v/>
      </c>
      <c r="M172" s="56" t="str">
        <f>IF($A172="","",IF(I172&gt;=E172,MAXIFS('Daily Transactions'!$A$6:$A$500,'Daily Transactions'!$I$6:$I$500,$O172,'Daily Transactions'!$C$6:$C$500,"Expense"),""))</f>
        <v/>
      </c>
      <c r="N172" s="33"/>
      <c r="O172" s="26" t="str">
        <f t="shared" si="5"/>
        <v/>
      </c>
      <c r="P172" s="33"/>
    </row>
    <row r="173" ht="15.0" customHeight="1">
      <c r="A173" s="29" t="str">
        <f t="shared" si="1"/>
        <v/>
      </c>
      <c r="B173" s="16"/>
      <c r="C173" s="16"/>
      <c r="D173" s="16"/>
      <c r="E173" s="17"/>
      <c r="F173" s="40"/>
      <c r="G173" s="16"/>
      <c r="H173" s="16"/>
      <c r="I173" s="17">
        <f>IF($A173="",0,SUMIFS('Daily Transactions'!$F$6:$F$500,'Daily Transactions'!$I$6:$I$500,$O173,'Daily Transactions'!$C$6:$C$500,"Expense"))</f>
        <v>0</v>
      </c>
      <c r="J173" s="17" t="str">
        <f t="shared" si="2"/>
        <v/>
      </c>
      <c r="K173" s="29" t="str">
        <f t="shared" si="3"/>
        <v/>
      </c>
      <c r="L173" s="29" t="str">
        <f t="shared" si="4"/>
        <v/>
      </c>
      <c r="M173" s="49" t="str">
        <f>IF($A173="","",IF(I173&gt;=E173,MAXIFS('Daily Transactions'!$A$6:$A$500,'Daily Transactions'!$I$6:$I$500,$O173,'Daily Transactions'!$C$6:$C$500,"Expense"),""))</f>
        <v/>
      </c>
      <c r="N173" s="16"/>
      <c r="O173" s="26" t="str">
        <f t="shared" si="5"/>
        <v/>
      </c>
      <c r="P173" s="16"/>
    </row>
    <row r="174" ht="15.0" customHeight="1">
      <c r="A174" s="60" t="str">
        <f t="shared" si="1"/>
        <v/>
      </c>
      <c r="B174" s="33"/>
      <c r="C174" s="33"/>
      <c r="D174" s="33"/>
      <c r="E174" s="61"/>
      <c r="F174" s="32"/>
      <c r="G174" s="33"/>
      <c r="H174" s="33"/>
      <c r="I174" s="61">
        <f>IF($A174="",0,SUMIFS('Daily Transactions'!$F$6:$F$500,'Daily Transactions'!$I$6:$I$500,$O174,'Daily Transactions'!$C$6:$C$500,"Expense"))</f>
        <v>0</v>
      </c>
      <c r="J174" s="61" t="str">
        <f t="shared" si="2"/>
        <v/>
      </c>
      <c r="K174" s="60" t="str">
        <f t="shared" si="3"/>
        <v/>
      </c>
      <c r="L174" s="60" t="str">
        <f t="shared" si="4"/>
        <v/>
      </c>
      <c r="M174" s="56" t="str">
        <f>IF($A174="","",IF(I174&gt;=E174,MAXIFS('Daily Transactions'!$A$6:$A$500,'Daily Transactions'!$I$6:$I$500,$O174,'Daily Transactions'!$C$6:$C$500,"Expense"),""))</f>
        <v/>
      </c>
      <c r="N174" s="33"/>
      <c r="O174" s="26" t="str">
        <f t="shared" si="5"/>
        <v/>
      </c>
      <c r="P174" s="33"/>
    </row>
    <row r="175" ht="15.0" customHeight="1">
      <c r="A175" s="29" t="str">
        <f t="shared" si="1"/>
        <v/>
      </c>
      <c r="B175" s="16"/>
      <c r="C175" s="16"/>
      <c r="D175" s="16"/>
      <c r="E175" s="17"/>
      <c r="F175" s="40"/>
      <c r="G175" s="16"/>
      <c r="H175" s="16"/>
      <c r="I175" s="17">
        <f>IF($A175="",0,SUMIFS('Daily Transactions'!$F$6:$F$500,'Daily Transactions'!$I$6:$I$500,$O175,'Daily Transactions'!$C$6:$C$500,"Expense"))</f>
        <v>0</v>
      </c>
      <c r="J175" s="17" t="str">
        <f t="shared" si="2"/>
        <v/>
      </c>
      <c r="K175" s="29" t="str">
        <f t="shared" si="3"/>
        <v/>
      </c>
      <c r="L175" s="29" t="str">
        <f t="shared" si="4"/>
        <v/>
      </c>
      <c r="M175" s="49" t="str">
        <f>IF($A175="","",IF(I175&gt;=E175,MAXIFS('Daily Transactions'!$A$6:$A$500,'Daily Transactions'!$I$6:$I$500,$O175,'Daily Transactions'!$C$6:$C$500,"Expense"),""))</f>
        <v/>
      </c>
      <c r="N175" s="16"/>
      <c r="O175" s="26" t="str">
        <f t="shared" si="5"/>
        <v/>
      </c>
      <c r="P175" s="16"/>
    </row>
    <row r="176" ht="15.0" customHeight="1">
      <c r="A176" s="60" t="str">
        <f t="shared" si="1"/>
        <v/>
      </c>
      <c r="B176" s="33"/>
      <c r="C176" s="33"/>
      <c r="D176" s="33"/>
      <c r="E176" s="61"/>
      <c r="F176" s="32"/>
      <c r="G176" s="33"/>
      <c r="H176" s="33"/>
      <c r="I176" s="61">
        <f>IF($A176="",0,SUMIFS('Daily Transactions'!$F$6:$F$500,'Daily Transactions'!$I$6:$I$500,$O176,'Daily Transactions'!$C$6:$C$500,"Expense"))</f>
        <v>0</v>
      </c>
      <c r="J176" s="61" t="str">
        <f t="shared" si="2"/>
        <v/>
      </c>
      <c r="K176" s="60" t="str">
        <f t="shared" si="3"/>
        <v/>
      </c>
      <c r="L176" s="60" t="str">
        <f t="shared" si="4"/>
        <v/>
      </c>
      <c r="M176" s="56" t="str">
        <f>IF($A176="","",IF(I176&gt;=E176,MAXIFS('Daily Transactions'!$A$6:$A$500,'Daily Transactions'!$I$6:$I$500,$O176,'Daily Transactions'!$C$6:$C$500,"Expense"),""))</f>
        <v/>
      </c>
      <c r="N176" s="33"/>
      <c r="O176" s="26" t="str">
        <f t="shared" si="5"/>
        <v/>
      </c>
      <c r="P176" s="33"/>
    </row>
    <row r="177" ht="15.0" customHeight="1">
      <c r="A177" s="29" t="str">
        <f t="shared" si="1"/>
        <v/>
      </c>
      <c r="B177" s="16"/>
      <c r="C177" s="16"/>
      <c r="D177" s="16"/>
      <c r="E177" s="17"/>
      <c r="F177" s="40"/>
      <c r="G177" s="16"/>
      <c r="H177" s="16"/>
      <c r="I177" s="17">
        <f>IF($A177="",0,SUMIFS('Daily Transactions'!$F$6:$F$500,'Daily Transactions'!$I$6:$I$500,$O177,'Daily Transactions'!$C$6:$C$500,"Expense"))</f>
        <v>0</v>
      </c>
      <c r="J177" s="17" t="str">
        <f t="shared" si="2"/>
        <v/>
      </c>
      <c r="K177" s="29" t="str">
        <f t="shared" si="3"/>
        <v/>
      </c>
      <c r="L177" s="29" t="str">
        <f t="shared" si="4"/>
        <v/>
      </c>
      <c r="M177" s="49" t="str">
        <f>IF($A177="","",IF(I177&gt;=E177,MAXIFS('Daily Transactions'!$A$6:$A$500,'Daily Transactions'!$I$6:$I$500,$O177,'Daily Transactions'!$C$6:$C$500,"Expense"),""))</f>
        <v/>
      </c>
      <c r="N177" s="16"/>
      <c r="O177" s="26" t="str">
        <f t="shared" si="5"/>
        <v/>
      </c>
      <c r="P177" s="16"/>
    </row>
    <row r="178" ht="15.0" customHeight="1">
      <c r="A178" s="60" t="str">
        <f t="shared" si="1"/>
        <v/>
      </c>
      <c r="B178" s="33"/>
      <c r="C178" s="33"/>
      <c r="D178" s="33"/>
      <c r="E178" s="61"/>
      <c r="F178" s="32"/>
      <c r="G178" s="33"/>
      <c r="H178" s="33"/>
      <c r="I178" s="61">
        <f>IF($A178="",0,SUMIFS('Daily Transactions'!$F$6:$F$500,'Daily Transactions'!$I$6:$I$500,$O178,'Daily Transactions'!$C$6:$C$500,"Expense"))</f>
        <v>0</v>
      </c>
      <c r="J178" s="61" t="str">
        <f t="shared" si="2"/>
        <v/>
      </c>
      <c r="K178" s="60" t="str">
        <f t="shared" si="3"/>
        <v/>
      </c>
      <c r="L178" s="60" t="str">
        <f t="shared" si="4"/>
        <v/>
      </c>
      <c r="M178" s="56" t="str">
        <f>IF($A178="","",IF(I178&gt;=E178,MAXIFS('Daily Transactions'!$A$6:$A$500,'Daily Transactions'!$I$6:$I$500,$O178,'Daily Transactions'!$C$6:$C$500,"Expense"),""))</f>
        <v/>
      </c>
      <c r="N178" s="33"/>
      <c r="O178" s="26" t="str">
        <f t="shared" si="5"/>
        <v/>
      </c>
      <c r="P178" s="33"/>
    </row>
    <row r="179" ht="15.0" customHeight="1">
      <c r="A179" s="29" t="str">
        <f t="shared" si="1"/>
        <v/>
      </c>
      <c r="B179" s="16"/>
      <c r="C179" s="16"/>
      <c r="D179" s="16"/>
      <c r="E179" s="17"/>
      <c r="F179" s="40"/>
      <c r="G179" s="16"/>
      <c r="H179" s="16"/>
      <c r="I179" s="17">
        <f>IF($A179="",0,SUMIFS('Daily Transactions'!$F$6:$F$500,'Daily Transactions'!$I$6:$I$500,$O179,'Daily Transactions'!$C$6:$C$500,"Expense"))</f>
        <v>0</v>
      </c>
      <c r="J179" s="17" t="str">
        <f t="shared" si="2"/>
        <v/>
      </c>
      <c r="K179" s="29" t="str">
        <f t="shared" si="3"/>
        <v/>
      </c>
      <c r="L179" s="29" t="str">
        <f t="shared" si="4"/>
        <v/>
      </c>
      <c r="M179" s="49" t="str">
        <f>IF($A179="","",IF(I179&gt;=E179,MAXIFS('Daily Transactions'!$A$6:$A$500,'Daily Transactions'!$I$6:$I$500,$O179,'Daily Transactions'!$C$6:$C$500,"Expense"),""))</f>
        <v/>
      </c>
      <c r="N179" s="16"/>
      <c r="O179" s="26" t="str">
        <f t="shared" si="5"/>
        <v/>
      </c>
      <c r="P179" s="16"/>
    </row>
    <row r="180" ht="15.0" customHeight="1">
      <c r="A180" s="60" t="str">
        <f t="shared" si="1"/>
        <v/>
      </c>
      <c r="B180" s="33"/>
      <c r="C180" s="33"/>
      <c r="D180" s="33"/>
      <c r="E180" s="61"/>
      <c r="F180" s="32"/>
      <c r="G180" s="33"/>
      <c r="H180" s="33"/>
      <c r="I180" s="61">
        <f>IF($A180="",0,SUMIFS('Daily Transactions'!$F$6:$F$500,'Daily Transactions'!$I$6:$I$500,$O180,'Daily Transactions'!$C$6:$C$500,"Expense"))</f>
        <v>0</v>
      </c>
      <c r="J180" s="61" t="str">
        <f t="shared" si="2"/>
        <v/>
      </c>
      <c r="K180" s="60" t="str">
        <f t="shared" si="3"/>
        <v/>
      </c>
      <c r="L180" s="60" t="str">
        <f t="shared" si="4"/>
        <v/>
      </c>
      <c r="M180" s="56" t="str">
        <f>IF($A180="","",IF(I180&gt;=E180,MAXIFS('Daily Transactions'!$A$6:$A$500,'Daily Transactions'!$I$6:$I$500,$O180,'Daily Transactions'!$C$6:$C$500,"Expense"),""))</f>
        <v/>
      </c>
      <c r="N180" s="33"/>
      <c r="O180" s="26" t="str">
        <f t="shared" si="5"/>
        <v/>
      </c>
      <c r="P180" s="33"/>
    </row>
    <row r="181" ht="15.0" customHeight="1">
      <c r="A181" s="29" t="str">
        <f t="shared" si="1"/>
        <v/>
      </c>
      <c r="B181" s="16"/>
      <c r="C181" s="16"/>
      <c r="D181" s="16"/>
      <c r="E181" s="17"/>
      <c r="F181" s="40"/>
      <c r="G181" s="16"/>
      <c r="H181" s="16"/>
      <c r="I181" s="17">
        <f>IF($A181="",0,SUMIFS('Daily Transactions'!$F$6:$F$500,'Daily Transactions'!$I$6:$I$500,$O181,'Daily Transactions'!$C$6:$C$500,"Expense"))</f>
        <v>0</v>
      </c>
      <c r="J181" s="17" t="str">
        <f t="shared" si="2"/>
        <v/>
      </c>
      <c r="K181" s="29" t="str">
        <f t="shared" si="3"/>
        <v/>
      </c>
      <c r="L181" s="29" t="str">
        <f t="shared" si="4"/>
        <v/>
      </c>
      <c r="M181" s="49" t="str">
        <f>IF($A181="","",IF(I181&gt;=E181,MAXIFS('Daily Transactions'!$A$6:$A$500,'Daily Transactions'!$I$6:$I$500,$O181,'Daily Transactions'!$C$6:$C$500,"Expense"),""))</f>
        <v/>
      </c>
      <c r="N181" s="16"/>
      <c r="O181" s="26" t="str">
        <f t="shared" si="5"/>
        <v/>
      </c>
      <c r="P181" s="16"/>
    </row>
    <row r="182" ht="15.0" customHeight="1">
      <c r="A182" s="60" t="str">
        <f t="shared" si="1"/>
        <v/>
      </c>
      <c r="B182" s="33"/>
      <c r="C182" s="33"/>
      <c r="D182" s="33"/>
      <c r="E182" s="61"/>
      <c r="F182" s="32"/>
      <c r="G182" s="33"/>
      <c r="H182" s="33"/>
      <c r="I182" s="61">
        <f>IF($A182="",0,SUMIFS('Daily Transactions'!$F$6:$F$500,'Daily Transactions'!$I$6:$I$500,$O182,'Daily Transactions'!$C$6:$C$500,"Expense"))</f>
        <v>0</v>
      </c>
      <c r="J182" s="61" t="str">
        <f t="shared" si="2"/>
        <v/>
      </c>
      <c r="K182" s="60" t="str">
        <f t="shared" si="3"/>
        <v/>
      </c>
      <c r="L182" s="60" t="str">
        <f t="shared" si="4"/>
        <v/>
      </c>
      <c r="M182" s="56" t="str">
        <f>IF($A182="","",IF(I182&gt;=E182,MAXIFS('Daily Transactions'!$A$6:$A$500,'Daily Transactions'!$I$6:$I$500,$O182,'Daily Transactions'!$C$6:$C$500,"Expense"),""))</f>
        <v/>
      </c>
      <c r="N182" s="33"/>
      <c r="O182" s="26" t="str">
        <f t="shared" si="5"/>
        <v/>
      </c>
      <c r="P182" s="33"/>
    </row>
    <row r="183" ht="15.0" customHeight="1">
      <c r="A183" s="29" t="str">
        <f t="shared" si="1"/>
        <v/>
      </c>
      <c r="B183" s="16"/>
      <c r="C183" s="16"/>
      <c r="D183" s="16"/>
      <c r="E183" s="17"/>
      <c r="F183" s="40"/>
      <c r="G183" s="16"/>
      <c r="H183" s="16"/>
      <c r="I183" s="17">
        <f>IF($A183="",0,SUMIFS('Daily Transactions'!$F$6:$F$500,'Daily Transactions'!$I$6:$I$500,$O183,'Daily Transactions'!$C$6:$C$500,"Expense"))</f>
        <v>0</v>
      </c>
      <c r="J183" s="17" t="str">
        <f t="shared" si="2"/>
        <v/>
      </c>
      <c r="K183" s="29" t="str">
        <f t="shared" si="3"/>
        <v/>
      </c>
      <c r="L183" s="29" t="str">
        <f t="shared" si="4"/>
        <v/>
      </c>
      <c r="M183" s="49" t="str">
        <f>IF($A183="","",IF(I183&gt;=E183,MAXIFS('Daily Transactions'!$A$6:$A$500,'Daily Transactions'!$I$6:$I$500,$O183,'Daily Transactions'!$C$6:$C$500,"Expense"),""))</f>
        <v/>
      </c>
      <c r="N183" s="16"/>
      <c r="O183" s="26" t="str">
        <f t="shared" si="5"/>
        <v/>
      </c>
      <c r="P183" s="16"/>
    </row>
    <row r="184" ht="15.0" customHeight="1">
      <c r="A184" s="60" t="str">
        <f t="shared" si="1"/>
        <v/>
      </c>
      <c r="B184" s="33"/>
      <c r="C184" s="33"/>
      <c r="D184" s="33"/>
      <c r="E184" s="61"/>
      <c r="F184" s="32"/>
      <c r="G184" s="33"/>
      <c r="H184" s="33"/>
      <c r="I184" s="61">
        <f>IF($A184="",0,SUMIFS('Daily Transactions'!$F$6:$F$500,'Daily Transactions'!$I$6:$I$500,$O184,'Daily Transactions'!$C$6:$C$500,"Expense"))</f>
        <v>0</v>
      </c>
      <c r="J184" s="61" t="str">
        <f t="shared" si="2"/>
        <v/>
      </c>
      <c r="K184" s="60" t="str">
        <f t="shared" si="3"/>
        <v/>
      </c>
      <c r="L184" s="60" t="str">
        <f t="shared" si="4"/>
        <v/>
      </c>
      <c r="M184" s="56" t="str">
        <f>IF($A184="","",IF(I184&gt;=E184,MAXIFS('Daily Transactions'!$A$6:$A$500,'Daily Transactions'!$I$6:$I$500,$O184,'Daily Transactions'!$C$6:$C$500,"Expense"),""))</f>
        <v/>
      </c>
      <c r="N184" s="33"/>
      <c r="O184" s="26" t="str">
        <f t="shared" si="5"/>
        <v/>
      </c>
      <c r="P184" s="33"/>
    </row>
    <row r="185" ht="15.0" customHeight="1">
      <c r="A185" s="29" t="str">
        <f t="shared" si="1"/>
        <v/>
      </c>
      <c r="B185" s="16"/>
      <c r="C185" s="16"/>
      <c r="D185" s="16"/>
      <c r="E185" s="17"/>
      <c r="F185" s="40"/>
      <c r="G185" s="16"/>
      <c r="H185" s="16"/>
      <c r="I185" s="17">
        <f>IF($A185="",0,SUMIFS('Daily Transactions'!$F$6:$F$500,'Daily Transactions'!$I$6:$I$500,$O185,'Daily Transactions'!$C$6:$C$500,"Expense"))</f>
        <v>0</v>
      </c>
      <c r="J185" s="17" t="str">
        <f t="shared" si="2"/>
        <v/>
      </c>
      <c r="K185" s="29" t="str">
        <f t="shared" si="3"/>
        <v/>
      </c>
      <c r="L185" s="29" t="str">
        <f t="shared" si="4"/>
        <v/>
      </c>
      <c r="M185" s="49" t="str">
        <f>IF($A185="","",IF(I185&gt;=E185,MAXIFS('Daily Transactions'!$A$6:$A$500,'Daily Transactions'!$I$6:$I$500,$O185,'Daily Transactions'!$C$6:$C$500,"Expense"),""))</f>
        <v/>
      </c>
      <c r="N185" s="16"/>
      <c r="O185" s="26" t="str">
        <f t="shared" si="5"/>
        <v/>
      </c>
      <c r="P185" s="16"/>
    </row>
    <row r="186" ht="15.0" customHeight="1">
      <c r="A186" s="60" t="str">
        <f t="shared" si="1"/>
        <v/>
      </c>
      <c r="B186" s="33"/>
      <c r="C186" s="33"/>
      <c r="D186" s="33"/>
      <c r="E186" s="61"/>
      <c r="F186" s="32"/>
      <c r="G186" s="33"/>
      <c r="H186" s="33"/>
      <c r="I186" s="61">
        <f>IF($A186="",0,SUMIFS('Daily Transactions'!$F$6:$F$500,'Daily Transactions'!$I$6:$I$500,$O186,'Daily Transactions'!$C$6:$C$500,"Expense"))</f>
        <v>0</v>
      </c>
      <c r="J186" s="61" t="str">
        <f t="shared" si="2"/>
        <v/>
      </c>
      <c r="K186" s="60" t="str">
        <f t="shared" si="3"/>
        <v/>
      </c>
      <c r="L186" s="60" t="str">
        <f t="shared" si="4"/>
        <v/>
      </c>
      <c r="M186" s="56" t="str">
        <f>IF($A186="","",IF(I186&gt;=E186,MAXIFS('Daily Transactions'!$A$6:$A$500,'Daily Transactions'!$I$6:$I$500,$O186,'Daily Transactions'!$C$6:$C$500,"Expense"),""))</f>
        <v/>
      </c>
      <c r="N186" s="33"/>
      <c r="O186" s="26" t="str">
        <f t="shared" si="5"/>
        <v/>
      </c>
      <c r="P186" s="33"/>
    </row>
    <row r="187" ht="15.0" customHeight="1">
      <c r="A187" s="29" t="str">
        <f t="shared" si="1"/>
        <v/>
      </c>
      <c r="B187" s="16"/>
      <c r="C187" s="16"/>
      <c r="D187" s="16"/>
      <c r="E187" s="17"/>
      <c r="F187" s="40"/>
      <c r="G187" s="16"/>
      <c r="H187" s="16"/>
      <c r="I187" s="17">
        <f>IF($A187="",0,SUMIFS('Daily Transactions'!$F$6:$F$500,'Daily Transactions'!$I$6:$I$500,$O187,'Daily Transactions'!$C$6:$C$500,"Expense"))</f>
        <v>0</v>
      </c>
      <c r="J187" s="17" t="str">
        <f t="shared" si="2"/>
        <v/>
      </c>
      <c r="K187" s="29" t="str">
        <f t="shared" si="3"/>
        <v/>
      </c>
      <c r="L187" s="29" t="str">
        <f t="shared" si="4"/>
        <v/>
      </c>
      <c r="M187" s="49" t="str">
        <f>IF($A187="","",IF(I187&gt;=E187,MAXIFS('Daily Transactions'!$A$6:$A$500,'Daily Transactions'!$I$6:$I$500,$O187,'Daily Transactions'!$C$6:$C$500,"Expense"),""))</f>
        <v/>
      </c>
      <c r="N187" s="16"/>
      <c r="O187" s="26" t="str">
        <f t="shared" si="5"/>
        <v/>
      </c>
      <c r="P187" s="16"/>
    </row>
    <row r="188" ht="15.0" customHeight="1">
      <c r="A188" s="60" t="str">
        <f t="shared" si="1"/>
        <v/>
      </c>
      <c r="B188" s="33"/>
      <c r="C188" s="33"/>
      <c r="D188" s="33"/>
      <c r="E188" s="61"/>
      <c r="F188" s="32"/>
      <c r="G188" s="33"/>
      <c r="H188" s="33"/>
      <c r="I188" s="61">
        <f>IF($A188="",0,SUMIFS('Daily Transactions'!$F$6:$F$500,'Daily Transactions'!$I$6:$I$500,$O188,'Daily Transactions'!$C$6:$C$500,"Expense"))</f>
        <v>0</v>
      </c>
      <c r="J188" s="61" t="str">
        <f t="shared" si="2"/>
        <v/>
      </c>
      <c r="K188" s="60" t="str">
        <f t="shared" si="3"/>
        <v/>
      </c>
      <c r="L188" s="60" t="str">
        <f t="shared" si="4"/>
        <v/>
      </c>
      <c r="M188" s="56" t="str">
        <f>IF($A188="","",IF(I188&gt;=E188,MAXIFS('Daily Transactions'!$A$6:$A$500,'Daily Transactions'!$I$6:$I$500,$O188,'Daily Transactions'!$C$6:$C$500,"Expense"),""))</f>
        <v/>
      </c>
      <c r="N188" s="33"/>
      <c r="O188" s="26" t="str">
        <f t="shared" si="5"/>
        <v/>
      </c>
      <c r="P188" s="33"/>
    </row>
    <row r="189" ht="15.0" customHeight="1">
      <c r="A189" s="29" t="str">
        <f t="shared" si="1"/>
        <v/>
      </c>
      <c r="B189" s="16"/>
      <c r="C189" s="16"/>
      <c r="D189" s="16"/>
      <c r="E189" s="17"/>
      <c r="F189" s="40"/>
      <c r="G189" s="16"/>
      <c r="H189" s="16"/>
      <c r="I189" s="17">
        <f>IF($A189="",0,SUMIFS('Daily Transactions'!$F$6:$F$500,'Daily Transactions'!$I$6:$I$500,$O189,'Daily Transactions'!$C$6:$C$500,"Expense"))</f>
        <v>0</v>
      </c>
      <c r="J189" s="17" t="str">
        <f t="shared" si="2"/>
        <v/>
      </c>
      <c r="K189" s="29" t="str">
        <f t="shared" si="3"/>
        <v/>
      </c>
      <c r="L189" s="29" t="str">
        <f t="shared" si="4"/>
        <v/>
      </c>
      <c r="M189" s="49" t="str">
        <f>IF($A189="","",IF(I189&gt;=E189,MAXIFS('Daily Transactions'!$A$6:$A$500,'Daily Transactions'!$I$6:$I$500,$O189,'Daily Transactions'!$C$6:$C$500,"Expense"),""))</f>
        <v/>
      </c>
      <c r="N189" s="16"/>
      <c r="O189" s="26" t="str">
        <f t="shared" si="5"/>
        <v/>
      </c>
      <c r="P189" s="16"/>
    </row>
    <row r="190" ht="15.0" customHeight="1">
      <c r="A190" s="60" t="str">
        <f t="shared" si="1"/>
        <v/>
      </c>
      <c r="B190" s="33"/>
      <c r="C190" s="33"/>
      <c r="D190" s="33"/>
      <c r="E190" s="61"/>
      <c r="F190" s="32"/>
      <c r="G190" s="33"/>
      <c r="H190" s="33"/>
      <c r="I190" s="61">
        <f>IF($A190="",0,SUMIFS('Daily Transactions'!$F$6:$F$500,'Daily Transactions'!$I$6:$I$500,$O190,'Daily Transactions'!$C$6:$C$500,"Expense"))</f>
        <v>0</v>
      </c>
      <c r="J190" s="61" t="str">
        <f t="shared" si="2"/>
        <v/>
      </c>
      <c r="K190" s="60" t="str">
        <f t="shared" si="3"/>
        <v/>
      </c>
      <c r="L190" s="60" t="str">
        <f t="shared" si="4"/>
        <v/>
      </c>
      <c r="M190" s="56" t="str">
        <f>IF($A190="","",IF(I190&gt;=E190,MAXIFS('Daily Transactions'!$A$6:$A$500,'Daily Transactions'!$I$6:$I$500,$O190,'Daily Transactions'!$C$6:$C$500,"Expense"),""))</f>
        <v/>
      </c>
      <c r="N190" s="33"/>
      <c r="O190" s="26" t="str">
        <f t="shared" si="5"/>
        <v/>
      </c>
      <c r="P190" s="33"/>
    </row>
    <row r="191" ht="15.0" customHeight="1">
      <c r="A191" s="29" t="str">
        <f t="shared" si="1"/>
        <v/>
      </c>
      <c r="B191" s="16"/>
      <c r="C191" s="16"/>
      <c r="D191" s="16"/>
      <c r="E191" s="17"/>
      <c r="F191" s="40"/>
      <c r="G191" s="16"/>
      <c r="H191" s="16"/>
      <c r="I191" s="17">
        <f>IF($A191="",0,SUMIFS('Daily Transactions'!$F$6:$F$500,'Daily Transactions'!$I$6:$I$500,$O191,'Daily Transactions'!$C$6:$C$500,"Expense"))</f>
        <v>0</v>
      </c>
      <c r="J191" s="17" t="str">
        <f t="shared" si="2"/>
        <v/>
      </c>
      <c r="K191" s="29" t="str">
        <f t="shared" si="3"/>
        <v/>
      </c>
      <c r="L191" s="29" t="str">
        <f t="shared" si="4"/>
        <v/>
      </c>
      <c r="M191" s="49" t="str">
        <f>IF($A191="","",IF(I191&gt;=E191,MAXIFS('Daily Transactions'!$A$6:$A$500,'Daily Transactions'!$I$6:$I$500,$O191,'Daily Transactions'!$C$6:$C$500,"Expense"),""))</f>
        <v/>
      </c>
      <c r="N191" s="16"/>
      <c r="O191" s="26" t="str">
        <f t="shared" si="5"/>
        <v/>
      </c>
      <c r="P191" s="16"/>
    </row>
    <row r="192" ht="15.0" customHeight="1">
      <c r="A192" s="60" t="str">
        <f t="shared" si="1"/>
        <v/>
      </c>
      <c r="B192" s="33"/>
      <c r="C192" s="33"/>
      <c r="D192" s="33"/>
      <c r="E192" s="61"/>
      <c r="F192" s="32"/>
      <c r="G192" s="33"/>
      <c r="H192" s="33"/>
      <c r="I192" s="61">
        <f>IF($A192="",0,SUMIFS('Daily Transactions'!$F$6:$F$500,'Daily Transactions'!$I$6:$I$500,$O192,'Daily Transactions'!$C$6:$C$500,"Expense"))</f>
        <v>0</v>
      </c>
      <c r="J192" s="61" t="str">
        <f t="shared" si="2"/>
        <v/>
      </c>
      <c r="K192" s="60" t="str">
        <f t="shared" si="3"/>
        <v/>
      </c>
      <c r="L192" s="60" t="str">
        <f t="shared" si="4"/>
        <v/>
      </c>
      <c r="M192" s="56" t="str">
        <f>IF($A192="","",IF(I192&gt;=E192,MAXIFS('Daily Transactions'!$A$6:$A$500,'Daily Transactions'!$I$6:$I$500,$O192,'Daily Transactions'!$C$6:$C$500,"Expense"),""))</f>
        <v/>
      </c>
      <c r="N192" s="33"/>
      <c r="O192" s="26" t="str">
        <f t="shared" si="5"/>
        <v/>
      </c>
      <c r="P192" s="33"/>
    </row>
    <row r="193" ht="15.0" customHeight="1">
      <c r="A193" s="29" t="str">
        <f t="shared" si="1"/>
        <v/>
      </c>
      <c r="B193" s="16"/>
      <c r="C193" s="16"/>
      <c r="D193" s="16"/>
      <c r="E193" s="17"/>
      <c r="F193" s="40"/>
      <c r="G193" s="16"/>
      <c r="H193" s="16"/>
      <c r="I193" s="17">
        <f>IF($A193="",0,SUMIFS('Daily Transactions'!$F$6:$F$500,'Daily Transactions'!$I$6:$I$500,$O193,'Daily Transactions'!$C$6:$C$500,"Expense"))</f>
        <v>0</v>
      </c>
      <c r="J193" s="17" t="str">
        <f t="shared" si="2"/>
        <v/>
      </c>
      <c r="K193" s="29" t="str">
        <f t="shared" si="3"/>
        <v/>
      </c>
      <c r="L193" s="29" t="str">
        <f t="shared" si="4"/>
        <v/>
      </c>
      <c r="M193" s="49" t="str">
        <f>IF($A193="","",IF(I193&gt;=E193,MAXIFS('Daily Transactions'!$A$6:$A$500,'Daily Transactions'!$I$6:$I$500,$O193,'Daily Transactions'!$C$6:$C$500,"Expense"),""))</f>
        <v/>
      </c>
      <c r="N193" s="16"/>
      <c r="O193" s="26" t="str">
        <f t="shared" si="5"/>
        <v/>
      </c>
      <c r="P193" s="16"/>
    </row>
    <row r="194" ht="15.0" customHeight="1">
      <c r="A194" s="60" t="str">
        <f t="shared" si="1"/>
        <v/>
      </c>
      <c r="B194" s="33"/>
      <c r="C194" s="33"/>
      <c r="D194" s="33"/>
      <c r="E194" s="61"/>
      <c r="F194" s="32"/>
      <c r="G194" s="33"/>
      <c r="H194" s="33"/>
      <c r="I194" s="61">
        <f>IF($A194="",0,SUMIFS('Daily Transactions'!$F$6:$F$500,'Daily Transactions'!$I$6:$I$500,$O194,'Daily Transactions'!$C$6:$C$500,"Expense"))</f>
        <v>0</v>
      </c>
      <c r="J194" s="61" t="str">
        <f t="shared" si="2"/>
        <v/>
      </c>
      <c r="K194" s="60" t="str">
        <f t="shared" si="3"/>
        <v/>
      </c>
      <c r="L194" s="60" t="str">
        <f t="shared" si="4"/>
        <v/>
      </c>
      <c r="M194" s="56" t="str">
        <f>IF($A194="","",IF(I194&gt;=E194,MAXIFS('Daily Transactions'!$A$6:$A$500,'Daily Transactions'!$I$6:$I$500,$O194,'Daily Transactions'!$C$6:$C$500,"Expense"),""))</f>
        <v/>
      </c>
      <c r="N194" s="33"/>
      <c r="O194" s="26" t="str">
        <f t="shared" si="5"/>
        <v/>
      </c>
      <c r="P194" s="33"/>
    </row>
    <row r="195" ht="15.0" customHeight="1">
      <c r="A195" s="29" t="str">
        <f t="shared" si="1"/>
        <v/>
      </c>
      <c r="B195" s="16"/>
      <c r="C195" s="16"/>
      <c r="D195" s="16"/>
      <c r="E195" s="17"/>
      <c r="F195" s="40"/>
      <c r="G195" s="16"/>
      <c r="H195" s="16"/>
      <c r="I195" s="17">
        <f>IF($A195="",0,SUMIFS('Daily Transactions'!$F$6:$F$500,'Daily Transactions'!$I$6:$I$500,$O195,'Daily Transactions'!$C$6:$C$500,"Expense"))</f>
        <v>0</v>
      </c>
      <c r="J195" s="17" t="str">
        <f t="shared" si="2"/>
        <v/>
      </c>
      <c r="K195" s="29" t="str">
        <f t="shared" si="3"/>
        <v/>
      </c>
      <c r="L195" s="29" t="str">
        <f t="shared" si="4"/>
        <v/>
      </c>
      <c r="M195" s="49" t="str">
        <f>IF($A195="","",IF(I195&gt;=E195,MAXIFS('Daily Transactions'!$A$6:$A$500,'Daily Transactions'!$I$6:$I$500,$O195,'Daily Transactions'!$C$6:$C$500,"Expense"),""))</f>
        <v/>
      </c>
      <c r="N195" s="16"/>
      <c r="O195" s="26" t="str">
        <f t="shared" si="5"/>
        <v/>
      </c>
      <c r="P195" s="16"/>
    </row>
    <row r="196" ht="15.0" customHeight="1">
      <c r="A196" s="60" t="str">
        <f t="shared" si="1"/>
        <v/>
      </c>
      <c r="B196" s="33"/>
      <c r="C196" s="33"/>
      <c r="D196" s="33"/>
      <c r="E196" s="61"/>
      <c r="F196" s="32"/>
      <c r="G196" s="33"/>
      <c r="H196" s="33"/>
      <c r="I196" s="61">
        <f>IF($A196="",0,SUMIFS('Daily Transactions'!$F$6:$F$500,'Daily Transactions'!$I$6:$I$500,$O196,'Daily Transactions'!$C$6:$C$500,"Expense"))</f>
        <v>0</v>
      </c>
      <c r="J196" s="61" t="str">
        <f t="shared" si="2"/>
        <v/>
      </c>
      <c r="K196" s="60" t="str">
        <f t="shared" si="3"/>
        <v/>
      </c>
      <c r="L196" s="60" t="str">
        <f t="shared" si="4"/>
        <v/>
      </c>
      <c r="M196" s="56" t="str">
        <f>IF($A196="","",IF(I196&gt;=E196,MAXIFS('Daily Transactions'!$A$6:$A$500,'Daily Transactions'!$I$6:$I$500,$O196,'Daily Transactions'!$C$6:$C$500,"Expense"),""))</f>
        <v/>
      </c>
      <c r="N196" s="33"/>
      <c r="O196" s="26" t="str">
        <f t="shared" si="5"/>
        <v/>
      </c>
      <c r="P196" s="33"/>
    </row>
    <row r="197" ht="15.0" customHeight="1">
      <c r="A197" s="29" t="str">
        <f t="shared" si="1"/>
        <v/>
      </c>
      <c r="B197" s="16"/>
      <c r="C197" s="16"/>
      <c r="D197" s="16"/>
      <c r="E197" s="17"/>
      <c r="F197" s="40"/>
      <c r="G197" s="16"/>
      <c r="H197" s="16"/>
      <c r="I197" s="17">
        <f>IF($A197="",0,SUMIFS('Daily Transactions'!$F$6:$F$500,'Daily Transactions'!$I$6:$I$500,$O197,'Daily Transactions'!$C$6:$C$500,"Expense"))</f>
        <v>0</v>
      </c>
      <c r="J197" s="17" t="str">
        <f t="shared" si="2"/>
        <v/>
      </c>
      <c r="K197" s="29" t="str">
        <f t="shared" si="3"/>
        <v/>
      </c>
      <c r="L197" s="29" t="str">
        <f t="shared" si="4"/>
        <v/>
      </c>
      <c r="M197" s="49" t="str">
        <f>IF($A197="","",IF(I197&gt;=E197,MAXIFS('Daily Transactions'!$A$6:$A$500,'Daily Transactions'!$I$6:$I$500,$O197,'Daily Transactions'!$C$6:$C$500,"Expense"),""))</f>
        <v/>
      </c>
      <c r="N197" s="16"/>
      <c r="O197" s="26" t="str">
        <f t="shared" si="5"/>
        <v/>
      </c>
      <c r="P197" s="16"/>
    </row>
    <row r="198" ht="15.0" customHeight="1">
      <c r="A198" s="60" t="str">
        <f t="shared" si="1"/>
        <v/>
      </c>
      <c r="B198" s="33"/>
      <c r="C198" s="33"/>
      <c r="D198" s="33"/>
      <c r="E198" s="61"/>
      <c r="F198" s="32"/>
      <c r="G198" s="33"/>
      <c r="H198" s="33"/>
      <c r="I198" s="61">
        <f>IF($A198="",0,SUMIFS('Daily Transactions'!$F$6:$F$500,'Daily Transactions'!$I$6:$I$500,$O198,'Daily Transactions'!$C$6:$C$500,"Expense"))</f>
        <v>0</v>
      </c>
      <c r="J198" s="61" t="str">
        <f t="shared" si="2"/>
        <v/>
      </c>
      <c r="K198" s="60" t="str">
        <f t="shared" si="3"/>
        <v/>
      </c>
      <c r="L198" s="60" t="str">
        <f t="shared" si="4"/>
        <v/>
      </c>
      <c r="M198" s="56" t="str">
        <f>IF($A198="","",IF(I198&gt;=E198,MAXIFS('Daily Transactions'!$A$6:$A$500,'Daily Transactions'!$I$6:$I$500,$O198,'Daily Transactions'!$C$6:$C$500,"Expense"),""))</f>
        <v/>
      </c>
      <c r="N198" s="33"/>
      <c r="O198" s="26" t="str">
        <f t="shared" si="5"/>
        <v/>
      </c>
      <c r="P198" s="33"/>
    </row>
    <row r="199" ht="15.0" customHeight="1">
      <c r="A199" s="29" t="str">
        <f t="shared" si="1"/>
        <v/>
      </c>
      <c r="B199" s="16"/>
      <c r="C199" s="16"/>
      <c r="D199" s="16"/>
      <c r="E199" s="17"/>
      <c r="F199" s="40"/>
      <c r="G199" s="16"/>
      <c r="H199" s="16"/>
      <c r="I199" s="17">
        <f>IF($A199="",0,SUMIFS('Daily Transactions'!$F$6:$F$500,'Daily Transactions'!$I$6:$I$500,$O199,'Daily Transactions'!$C$6:$C$500,"Expense"))</f>
        <v>0</v>
      </c>
      <c r="J199" s="17" t="str">
        <f t="shared" si="2"/>
        <v/>
      </c>
      <c r="K199" s="29" t="str">
        <f t="shared" si="3"/>
        <v/>
      </c>
      <c r="L199" s="29" t="str">
        <f t="shared" si="4"/>
        <v/>
      </c>
      <c r="M199" s="49" t="str">
        <f>IF($A199="","",IF(I199&gt;=E199,MAXIFS('Daily Transactions'!$A$6:$A$500,'Daily Transactions'!$I$6:$I$500,$O199,'Daily Transactions'!$C$6:$C$500,"Expense"),""))</f>
        <v/>
      </c>
      <c r="N199" s="16"/>
      <c r="O199" s="26" t="str">
        <f t="shared" si="5"/>
        <v/>
      </c>
      <c r="P199" s="16"/>
    </row>
    <row r="200" ht="15.0" customHeight="1">
      <c r="A200" s="60" t="str">
        <f t="shared" si="1"/>
        <v/>
      </c>
      <c r="B200" s="33"/>
      <c r="C200" s="33"/>
      <c r="D200" s="33"/>
      <c r="E200" s="61"/>
      <c r="F200" s="32"/>
      <c r="G200" s="33"/>
      <c r="H200" s="33"/>
      <c r="I200" s="61">
        <f>IF($A200="",0,SUMIFS('Daily Transactions'!$F$6:$F$500,'Daily Transactions'!$I$6:$I$500,$O200,'Daily Transactions'!$C$6:$C$500,"Expense"))</f>
        <v>0</v>
      </c>
      <c r="J200" s="61" t="str">
        <f t="shared" si="2"/>
        <v/>
      </c>
      <c r="K200" s="60" t="str">
        <f t="shared" si="3"/>
        <v/>
      </c>
      <c r="L200" s="60" t="str">
        <f t="shared" si="4"/>
        <v/>
      </c>
      <c r="M200" s="56" t="str">
        <f>IF($A200="","",IF(I200&gt;=E200,MAXIFS('Daily Transactions'!$A$6:$A$500,'Daily Transactions'!$I$6:$I$500,$O200,'Daily Transactions'!$C$6:$C$500,"Expense"),""))</f>
        <v/>
      </c>
      <c r="N200" s="33"/>
      <c r="O200" s="26" t="str">
        <f t="shared" si="5"/>
        <v/>
      </c>
      <c r="P200" s="33"/>
    </row>
    <row r="201" ht="15.0" customHeight="1">
      <c r="A201" s="29" t="str">
        <f t="shared" si="1"/>
        <v/>
      </c>
      <c r="B201" s="16"/>
      <c r="C201" s="16"/>
      <c r="D201" s="16"/>
      <c r="E201" s="17"/>
      <c r="F201" s="40"/>
      <c r="G201" s="16"/>
      <c r="H201" s="16"/>
      <c r="I201" s="17">
        <f>IF($A201="",0,SUMIFS('Daily Transactions'!$F$6:$F$500,'Daily Transactions'!$I$6:$I$500,$O201,'Daily Transactions'!$C$6:$C$500,"Expense"))</f>
        <v>0</v>
      </c>
      <c r="J201" s="17" t="str">
        <f t="shared" si="2"/>
        <v/>
      </c>
      <c r="K201" s="29" t="str">
        <f t="shared" si="3"/>
        <v/>
      </c>
      <c r="L201" s="29" t="str">
        <f t="shared" si="4"/>
        <v/>
      </c>
      <c r="M201" s="49" t="str">
        <f>IF($A201="","",IF(I201&gt;=E201,MAXIFS('Daily Transactions'!$A$6:$A$500,'Daily Transactions'!$I$6:$I$500,$O201,'Daily Transactions'!$C$6:$C$500,"Expense"),""))</f>
        <v/>
      </c>
      <c r="N201" s="16"/>
      <c r="O201" s="26" t="str">
        <f t="shared" si="5"/>
        <v/>
      </c>
      <c r="P201" s="16"/>
    </row>
    <row r="202" ht="15.0" customHeight="1">
      <c r="A202" s="60" t="str">
        <f t="shared" si="1"/>
        <v/>
      </c>
      <c r="B202" s="33"/>
      <c r="C202" s="33"/>
      <c r="D202" s="33"/>
      <c r="E202" s="61"/>
      <c r="F202" s="32"/>
      <c r="G202" s="33"/>
      <c r="H202" s="33"/>
      <c r="I202" s="61">
        <f>IF($A202="",0,SUMIFS('Daily Transactions'!$F$6:$F$500,'Daily Transactions'!$I$6:$I$500,$O202,'Daily Transactions'!$C$6:$C$500,"Expense"))</f>
        <v>0</v>
      </c>
      <c r="J202" s="61" t="str">
        <f t="shared" si="2"/>
        <v/>
      </c>
      <c r="K202" s="60" t="str">
        <f t="shared" si="3"/>
        <v/>
      </c>
      <c r="L202" s="60" t="str">
        <f t="shared" si="4"/>
        <v/>
      </c>
      <c r="M202" s="56" t="str">
        <f>IF($A202="","",IF(I202&gt;=E202,MAXIFS('Daily Transactions'!$A$6:$A$500,'Daily Transactions'!$I$6:$I$500,$O202,'Daily Transactions'!$C$6:$C$500,"Expense"),""))</f>
        <v/>
      </c>
      <c r="N202" s="33"/>
      <c r="O202" s="26" t="str">
        <f t="shared" si="5"/>
        <v/>
      </c>
      <c r="P202" s="33"/>
    </row>
    <row r="203" ht="15.0" customHeight="1">
      <c r="A203" s="29" t="str">
        <f t="shared" si="1"/>
        <v/>
      </c>
      <c r="B203" s="16"/>
      <c r="C203" s="16"/>
      <c r="D203" s="16"/>
      <c r="E203" s="17"/>
      <c r="F203" s="40"/>
      <c r="G203" s="16"/>
      <c r="H203" s="16"/>
      <c r="I203" s="17">
        <f>IF($A203="",0,SUMIFS('Daily Transactions'!$F$6:$F$500,'Daily Transactions'!$I$6:$I$500,$O203,'Daily Transactions'!$C$6:$C$500,"Expense"))</f>
        <v>0</v>
      </c>
      <c r="J203" s="17" t="str">
        <f t="shared" si="2"/>
        <v/>
      </c>
      <c r="K203" s="29" t="str">
        <f t="shared" si="3"/>
        <v/>
      </c>
      <c r="L203" s="29" t="str">
        <f t="shared" si="4"/>
        <v/>
      </c>
      <c r="M203" s="49" t="str">
        <f>IF($A203="","",IF(I203&gt;=E203,MAXIFS('Daily Transactions'!$A$6:$A$500,'Daily Transactions'!$I$6:$I$500,$O203,'Daily Transactions'!$C$6:$C$500,"Expense"),""))</f>
        <v/>
      </c>
      <c r="N203" s="16"/>
      <c r="O203" s="26" t="str">
        <f t="shared" si="5"/>
        <v/>
      </c>
      <c r="P203" s="16"/>
    </row>
    <row r="204" ht="15.0" customHeight="1">
      <c r="A204" s="60" t="str">
        <f t="shared" si="1"/>
        <v/>
      </c>
      <c r="B204" s="33"/>
      <c r="C204" s="33"/>
      <c r="D204" s="33"/>
      <c r="E204" s="61"/>
      <c r="F204" s="32"/>
      <c r="G204" s="33"/>
      <c r="H204" s="33"/>
      <c r="I204" s="61">
        <f>IF($A204="",0,SUMIFS('Daily Transactions'!$F$6:$F$500,'Daily Transactions'!$I$6:$I$500,$O204,'Daily Transactions'!$C$6:$C$500,"Expense"))</f>
        <v>0</v>
      </c>
      <c r="J204" s="61" t="str">
        <f t="shared" si="2"/>
        <v/>
      </c>
      <c r="K204" s="60" t="str">
        <f t="shared" si="3"/>
        <v/>
      </c>
      <c r="L204" s="60" t="str">
        <f t="shared" si="4"/>
        <v/>
      </c>
      <c r="M204" s="56" t="str">
        <f>IF($A204="","",IF(I204&gt;=E204,MAXIFS('Daily Transactions'!$A$6:$A$500,'Daily Transactions'!$I$6:$I$500,$O204,'Daily Transactions'!$C$6:$C$500,"Expense"),""))</f>
        <v/>
      </c>
      <c r="N204" s="33"/>
      <c r="O204" s="26" t="str">
        <f t="shared" si="5"/>
        <v/>
      </c>
      <c r="P204" s="33"/>
    </row>
    <row r="205" ht="15.0" customHeight="1">
      <c r="A205" s="29" t="str">
        <f t="shared" si="1"/>
        <v/>
      </c>
      <c r="B205" s="16"/>
      <c r="C205" s="16"/>
      <c r="D205" s="16"/>
      <c r="E205" s="17"/>
      <c r="F205" s="40"/>
      <c r="G205" s="16"/>
      <c r="H205" s="16"/>
      <c r="I205" s="17">
        <f>IF($A205="",0,SUMIFS('Daily Transactions'!$F$6:$F$500,'Daily Transactions'!$I$6:$I$500,$O205,'Daily Transactions'!$C$6:$C$500,"Expense"))</f>
        <v>0</v>
      </c>
      <c r="J205" s="17" t="str">
        <f t="shared" si="2"/>
        <v/>
      </c>
      <c r="K205" s="29" t="str">
        <f t="shared" si="3"/>
        <v/>
      </c>
      <c r="L205" s="29" t="str">
        <f t="shared" si="4"/>
        <v/>
      </c>
      <c r="M205" s="49" t="str">
        <f>IF($A205="","",IF(I205&gt;=E205,MAXIFS('Daily Transactions'!$A$6:$A$500,'Daily Transactions'!$I$6:$I$500,$O205,'Daily Transactions'!$C$6:$C$500,"Expense"),""))</f>
        <v/>
      </c>
      <c r="N205" s="16"/>
      <c r="O205" s="26" t="str">
        <f t="shared" si="5"/>
        <v/>
      </c>
      <c r="P205" s="16"/>
    </row>
    <row r="206" ht="15.0" customHeight="1">
      <c r="A206" s="60" t="str">
        <f t="shared" si="1"/>
        <v/>
      </c>
      <c r="B206" s="33"/>
      <c r="C206" s="33"/>
      <c r="D206" s="33"/>
      <c r="E206" s="61"/>
      <c r="F206" s="32"/>
      <c r="G206" s="33"/>
      <c r="H206" s="33"/>
      <c r="I206" s="61">
        <f>IF($A206="",0,SUMIFS('Daily Transactions'!$F$6:$F$500,'Daily Transactions'!$I$6:$I$500,$O206,'Daily Transactions'!$C$6:$C$500,"Expense"))</f>
        <v>0</v>
      </c>
      <c r="J206" s="61" t="str">
        <f t="shared" si="2"/>
        <v/>
      </c>
      <c r="K206" s="60" t="str">
        <f t="shared" si="3"/>
        <v/>
      </c>
      <c r="L206" s="60" t="str">
        <f t="shared" si="4"/>
        <v/>
      </c>
      <c r="M206" s="56" t="str">
        <f>IF($A206="","",IF(I206&gt;=E206,MAXIFS('Daily Transactions'!$A$6:$A$500,'Daily Transactions'!$I$6:$I$500,$O206,'Daily Transactions'!$C$6:$C$500,"Expense"),""))</f>
        <v/>
      </c>
      <c r="N206" s="33"/>
      <c r="O206" s="26" t="str">
        <f t="shared" si="5"/>
        <v/>
      </c>
      <c r="P206" s="33"/>
    </row>
    <row r="207" ht="15.0" customHeight="1">
      <c r="A207" s="29" t="str">
        <f t="shared" si="1"/>
        <v/>
      </c>
      <c r="B207" s="16"/>
      <c r="C207" s="16"/>
      <c r="D207" s="16"/>
      <c r="E207" s="17"/>
      <c r="F207" s="40"/>
      <c r="G207" s="16"/>
      <c r="H207" s="16"/>
      <c r="I207" s="17">
        <f>IF($A207="",0,SUMIFS('Daily Transactions'!$F$6:$F$500,'Daily Transactions'!$I$6:$I$500,$O207,'Daily Transactions'!$C$6:$C$500,"Expense"))</f>
        <v>0</v>
      </c>
      <c r="J207" s="17" t="str">
        <f t="shared" si="2"/>
        <v/>
      </c>
      <c r="K207" s="29" t="str">
        <f t="shared" si="3"/>
        <v/>
      </c>
      <c r="L207" s="29" t="str">
        <f t="shared" si="4"/>
        <v/>
      </c>
      <c r="M207" s="49" t="str">
        <f>IF($A207="","",IF(I207&gt;=E207,MAXIFS('Daily Transactions'!$A$6:$A$500,'Daily Transactions'!$I$6:$I$500,$O207,'Daily Transactions'!$C$6:$C$500,"Expense"),""))</f>
        <v/>
      </c>
      <c r="N207" s="16"/>
      <c r="O207" s="26" t="str">
        <f t="shared" si="5"/>
        <v/>
      </c>
      <c r="P207" s="16"/>
    </row>
    <row r="208" ht="15.0" customHeight="1">
      <c r="A208" s="60" t="str">
        <f t="shared" si="1"/>
        <v/>
      </c>
      <c r="B208" s="33"/>
      <c r="C208" s="33"/>
      <c r="D208" s="33"/>
      <c r="E208" s="61"/>
      <c r="F208" s="32"/>
      <c r="G208" s="33"/>
      <c r="H208" s="33"/>
      <c r="I208" s="61">
        <f>IF($A208="",0,SUMIFS('Daily Transactions'!$F$6:$F$500,'Daily Transactions'!$I$6:$I$500,$O208,'Daily Transactions'!$C$6:$C$500,"Expense"))</f>
        <v>0</v>
      </c>
      <c r="J208" s="61" t="str">
        <f t="shared" si="2"/>
        <v/>
      </c>
      <c r="K208" s="60" t="str">
        <f t="shared" si="3"/>
        <v/>
      </c>
      <c r="L208" s="60" t="str">
        <f t="shared" si="4"/>
        <v/>
      </c>
      <c r="M208" s="56" t="str">
        <f>IF($A208="","",IF(I208&gt;=E208,MAXIFS('Daily Transactions'!$A$6:$A$500,'Daily Transactions'!$I$6:$I$500,$O208,'Daily Transactions'!$C$6:$C$500,"Expense"),""))</f>
        <v/>
      </c>
      <c r="N208" s="33"/>
      <c r="O208" s="26" t="str">
        <f t="shared" si="5"/>
        <v/>
      </c>
      <c r="P208" s="33"/>
    </row>
    <row r="209" ht="15.0" customHeight="1">
      <c r="A209" s="29" t="str">
        <f t="shared" si="1"/>
        <v/>
      </c>
      <c r="B209" s="16"/>
      <c r="C209" s="16"/>
      <c r="D209" s="16"/>
      <c r="E209" s="17"/>
      <c r="F209" s="40"/>
      <c r="G209" s="16"/>
      <c r="H209" s="16"/>
      <c r="I209" s="17">
        <f>IF($A209="",0,SUMIFS('Daily Transactions'!$F$6:$F$500,'Daily Transactions'!$I$6:$I$500,$O209,'Daily Transactions'!$C$6:$C$500,"Expense"))</f>
        <v>0</v>
      </c>
      <c r="J209" s="17" t="str">
        <f t="shared" si="2"/>
        <v/>
      </c>
      <c r="K209" s="29" t="str">
        <f t="shared" si="3"/>
        <v/>
      </c>
      <c r="L209" s="29" t="str">
        <f t="shared" si="4"/>
        <v/>
      </c>
      <c r="M209" s="49" t="str">
        <f>IF($A209="","",IF(I209&gt;=E209,MAXIFS('Daily Transactions'!$A$6:$A$500,'Daily Transactions'!$I$6:$I$500,$O209,'Daily Transactions'!$C$6:$C$500,"Expense"),""))</f>
        <v/>
      </c>
      <c r="N209" s="16"/>
      <c r="O209" s="26" t="str">
        <f t="shared" si="5"/>
        <v/>
      </c>
      <c r="P209" s="16"/>
    </row>
    <row r="210" ht="15.0" customHeight="1">
      <c r="A210" s="60" t="str">
        <f t="shared" si="1"/>
        <v/>
      </c>
      <c r="B210" s="33"/>
      <c r="C210" s="33"/>
      <c r="D210" s="33"/>
      <c r="E210" s="61"/>
      <c r="F210" s="32"/>
      <c r="G210" s="33"/>
      <c r="H210" s="33"/>
      <c r="I210" s="61">
        <f>IF($A210="",0,SUMIFS('Daily Transactions'!$F$6:$F$500,'Daily Transactions'!$I$6:$I$500,$O210,'Daily Transactions'!$C$6:$C$500,"Expense"))</f>
        <v>0</v>
      </c>
      <c r="J210" s="61" t="str">
        <f t="shared" si="2"/>
        <v/>
      </c>
      <c r="K210" s="60" t="str">
        <f t="shared" si="3"/>
        <v/>
      </c>
      <c r="L210" s="60" t="str">
        <f t="shared" si="4"/>
        <v/>
      </c>
      <c r="M210" s="56" t="str">
        <f>IF($A210="","",IF(I210&gt;=E210,MAXIFS('Daily Transactions'!$A$6:$A$500,'Daily Transactions'!$I$6:$I$500,$O210,'Daily Transactions'!$C$6:$C$500,"Expense"),""))</f>
        <v/>
      </c>
      <c r="N210" s="33"/>
      <c r="O210" s="26" t="str">
        <f t="shared" si="5"/>
        <v/>
      </c>
      <c r="P210" s="33"/>
    </row>
    <row r="211" ht="15.0" customHeight="1">
      <c r="A211" s="29" t="str">
        <f t="shared" si="1"/>
        <v/>
      </c>
      <c r="B211" s="16"/>
      <c r="C211" s="16"/>
      <c r="D211" s="16"/>
      <c r="E211" s="17"/>
      <c r="F211" s="40"/>
      <c r="G211" s="16"/>
      <c r="H211" s="16"/>
      <c r="I211" s="17">
        <f>IF($A211="",0,SUMIFS('Daily Transactions'!$F$6:$F$500,'Daily Transactions'!$I$6:$I$500,$O211,'Daily Transactions'!$C$6:$C$500,"Expense"))</f>
        <v>0</v>
      </c>
      <c r="J211" s="17" t="str">
        <f t="shared" si="2"/>
        <v/>
      </c>
      <c r="K211" s="29" t="str">
        <f t="shared" si="3"/>
        <v/>
      </c>
      <c r="L211" s="29" t="str">
        <f t="shared" si="4"/>
        <v/>
      </c>
      <c r="M211" s="49" t="str">
        <f>IF($A211="","",IF(I211&gt;=E211,MAXIFS('Daily Transactions'!$A$6:$A$500,'Daily Transactions'!$I$6:$I$500,$O211,'Daily Transactions'!$C$6:$C$500,"Expense"),""))</f>
        <v/>
      </c>
      <c r="N211" s="16"/>
      <c r="O211" s="26" t="str">
        <f t="shared" si="5"/>
        <v/>
      </c>
      <c r="P211" s="16"/>
    </row>
    <row r="212" ht="15.0" customHeight="1">
      <c r="A212" s="60" t="str">
        <f t="shared" si="1"/>
        <v/>
      </c>
      <c r="B212" s="33"/>
      <c r="C212" s="33"/>
      <c r="D212" s="33"/>
      <c r="E212" s="61"/>
      <c r="F212" s="32"/>
      <c r="G212" s="33"/>
      <c r="H212" s="33"/>
      <c r="I212" s="61">
        <f>IF($A212="",0,SUMIFS('Daily Transactions'!$F$6:$F$500,'Daily Transactions'!$I$6:$I$500,$O212,'Daily Transactions'!$C$6:$C$500,"Expense"))</f>
        <v>0</v>
      </c>
      <c r="J212" s="61" t="str">
        <f t="shared" si="2"/>
        <v/>
      </c>
      <c r="K212" s="60" t="str">
        <f t="shared" si="3"/>
        <v/>
      </c>
      <c r="L212" s="60" t="str">
        <f t="shared" si="4"/>
        <v/>
      </c>
      <c r="M212" s="56" t="str">
        <f>IF($A212="","",IF(I212&gt;=E212,MAXIFS('Daily Transactions'!$A$6:$A$500,'Daily Transactions'!$I$6:$I$500,$O212,'Daily Transactions'!$C$6:$C$500,"Expense"),""))</f>
        <v/>
      </c>
      <c r="N212" s="33"/>
      <c r="O212" s="26" t="str">
        <f t="shared" si="5"/>
        <v/>
      </c>
      <c r="P212" s="33"/>
    </row>
    <row r="213" ht="15.0" customHeight="1">
      <c r="A213" s="29" t="str">
        <f t="shared" si="1"/>
        <v/>
      </c>
      <c r="B213" s="16"/>
      <c r="C213" s="16"/>
      <c r="D213" s="16"/>
      <c r="E213" s="17"/>
      <c r="F213" s="40"/>
      <c r="G213" s="16"/>
      <c r="H213" s="16"/>
      <c r="I213" s="17">
        <f>IF($A213="",0,SUMIFS('Daily Transactions'!$F$6:$F$500,'Daily Transactions'!$I$6:$I$500,$O213,'Daily Transactions'!$C$6:$C$500,"Expense"))</f>
        <v>0</v>
      </c>
      <c r="J213" s="17" t="str">
        <f t="shared" si="2"/>
        <v/>
      </c>
      <c r="K213" s="29" t="str">
        <f t="shared" si="3"/>
        <v/>
      </c>
      <c r="L213" s="29" t="str">
        <f t="shared" si="4"/>
        <v/>
      </c>
      <c r="M213" s="49" t="str">
        <f>IF($A213="","",IF(I213&gt;=E213,MAXIFS('Daily Transactions'!$A$6:$A$500,'Daily Transactions'!$I$6:$I$500,$O213,'Daily Transactions'!$C$6:$C$500,"Expense"),""))</f>
        <v/>
      </c>
      <c r="N213" s="16"/>
      <c r="O213" s="26" t="str">
        <f t="shared" si="5"/>
        <v/>
      </c>
      <c r="P213" s="16"/>
    </row>
    <row r="214" ht="15.0" customHeight="1">
      <c r="A214" s="60" t="str">
        <f t="shared" si="1"/>
        <v/>
      </c>
      <c r="B214" s="33"/>
      <c r="C214" s="33"/>
      <c r="D214" s="33"/>
      <c r="E214" s="61"/>
      <c r="F214" s="32"/>
      <c r="G214" s="33"/>
      <c r="H214" s="33"/>
      <c r="I214" s="61">
        <f>IF($A214="",0,SUMIFS('Daily Transactions'!$F$6:$F$500,'Daily Transactions'!$I$6:$I$500,$O214,'Daily Transactions'!$C$6:$C$500,"Expense"))</f>
        <v>0</v>
      </c>
      <c r="J214" s="61" t="str">
        <f t="shared" si="2"/>
        <v/>
      </c>
      <c r="K214" s="60" t="str">
        <f t="shared" si="3"/>
        <v/>
      </c>
      <c r="L214" s="60" t="str">
        <f t="shared" si="4"/>
        <v/>
      </c>
      <c r="M214" s="56" t="str">
        <f>IF($A214="","",IF(I214&gt;=E214,MAXIFS('Daily Transactions'!$A$6:$A$500,'Daily Transactions'!$I$6:$I$500,$O214,'Daily Transactions'!$C$6:$C$500,"Expense"),""))</f>
        <v/>
      </c>
      <c r="N214" s="33"/>
      <c r="O214" s="26" t="str">
        <f t="shared" si="5"/>
        <v/>
      </c>
      <c r="P214" s="33"/>
    </row>
    <row r="215" ht="15.0" customHeight="1">
      <c r="A215" s="29" t="str">
        <f t="shared" si="1"/>
        <v/>
      </c>
      <c r="B215" s="16"/>
      <c r="C215" s="16"/>
      <c r="D215" s="16"/>
      <c r="E215" s="17"/>
      <c r="F215" s="40"/>
      <c r="G215" s="16"/>
      <c r="H215" s="16"/>
      <c r="I215" s="17">
        <f>IF($A215="",0,SUMIFS('Daily Transactions'!$F$6:$F$500,'Daily Transactions'!$I$6:$I$500,$O215,'Daily Transactions'!$C$6:$C$500,"Expense"))</f>
        <v>0</v>
      </c>
      <c r="J215" s="17" t="str">
        <f t="shared" si="2"/>
        <v/>
      </c>
      <c r="K215" s="29" t="str">
        <f t="shared" si="3"/>
        <v/>
      </c>
      <c r="L215" s="29" t="str">
        <f t="shared" si="4"/>
        <v/>
      </c>
      <c r="M215" s="49" t="str">
        <f>IF($A215="","",IF(I215&gt;=E215,MAXIFS('Daily Transactions'!$A$6:$A$500,'Daily Transactions'!$I$6:$I$500,$O215,'Daily Transactions'!$C$6:$C$500,"Expense"),""))</f>
        <v/>
      </c>
      <c r="N215" s="16"/>
      <c r="O215" s="26" t="str">
        <f t="shared" si="5"/>
        <v/>
      </c>
      <c r="P215" s="16"/>
    </row>
    <row r="216" ht="15.0" customHeight="1">
      <c r="A216" s="60" t="str">
        <f t="shared" si="1"/>
        <v/>
      </c>
      <c r="B216" s="33"/>
      <c r="C216" s="33"/>
      <c r="D216" s="33"/>
      <c r="E216" s="61"/>
      <c r="F216" s="32"/>
      <c r="G216" s="33"/>
      <c r="H216" s="33"/>
      <c r="I216" s="61">
        <f>IF($A216="",0,SUMIFS('Daily Transactions'!$F$6:$F$500,'Daily Transactions'!$I$6:$I$500,$O216,'Daily Transactions'!$C$6:$C$500,"Expense"))</f>
        <v>0</v>
      </c>
      <c r="J216" s="61" t="str">
        <f t="shared" si="2"/>
        <v/>
      </c>
      <c r="K216" s="60" t="str">
        <f t="shared" si="3"/>
        <v/>
      </c>
      <c r="L216" s="60" t="str">
        <f t="shared" si="4"/>
        <v/>
      </c>
      <c r="M216" s="56" t="str">
        <f>IF($A216="","",IF(I216&gt;=E216,MAXIFS('Daily Transactions'!$A$6:$A$500,'Daily Transactions'!$I$6:$I$500,$O216,'Daily Transactions'!$C$6:$C$500,"Expense"),""))</f>
        <v/>
      </c>
      <c r="N216" s="33"/>
      <c r="O216" s="26" t="str">
        <f t="shared" si="5"/>
        <v/>
      </c>
      <c r="P216" s="33"/>
    </row>
    <row r="217" ht="15.0" customHeight="1">
      <c r="A217" s="29" t="str">
        <f t="shared" si="1"/>
        <v/>
      </c>
      <c r="B217" s="16"/>
      <c r="C217" s="16"/>
      <c r="D217" s="16"/>
      <c r="E217" s="17"/>
      <c r="F217" s="40"/>
      <c r="G217" s="16"/>
      <c r="H217" s="16"/>
      <c r="I217" s="17">
        <f>IF($A217="",0,SUMIFS('Daily Transactions'!$F$6:$F$500,'Daily Transactions'!$I$6:$I$500,$O217,'Daily Transactions'!$C$6:$C$500,"Expense"))</f>
        <v>0</v>
      </c>
      <c r="J217" s="17" t="str">
        <f t="shared" si="2"/>
        <v/>
      </c>
      <c r="K217" s="29" t="str">
        <f t="shared" si="3"/>
        <v/>
      </c>
      <c r="L217" s="29" t="str">
        <f t="shared" si="4"/>
        <v/>
      </c>
      <c r="M217" s="49" t="str">
        <f>IF($A217="","",IF(I217&gt;=E217,MAXIFS('Daily Transactions'!$A$6:$A$500,'Daily Transactions'!$I$6:$I$500,$O217,'Daily Transactions'!$C$6:$C$500,"Expense"),""))</f>
        <v/>
      </c>
      <c r="N217" s="16"/>
      <c r="O217" s="26" t="str">
        <f t="shared" si="5"/>
        <v/>
      </c>
      <c r="P217" s="16"/>
    </row>
    <row r="218" ht="15.0" customHeight="1">
      <c r="A218" s="60" t="str">
        <f t="shared" si="1"/>
        <v/>
      </c>
      <c r="B218" s="33"/>
      <c r="C218" s="33"/>
      <c r="D218" s="33"/>
      <c r="E218" s="61"/>
      <c r="F218" s="32"/>
      <c r="G218" s="33"/>
      <c r="H218" s="33"/>
      <c r="I218" s="61">
        <f>IF($A218="",0,SUMIFS('Daily Transactions'!$F$6:$F$500,'Daily Transactions'!$I$6:$I$500,$O218,'Daily Transactions'!$C$6:$C$500,"Expense"))</f>
        <v>0</v>
      </c>
      <c r="J218" s="61" t="str">
        <f t="shared" si="2"/>
        <v/>
      </c>
      <c r="K218" s="60" t="str">
        <f t="shared" si="3"/>
        <v/>
      </c>
      <c r="L218" s="60" t="str">
        <f t="shared" si="4"/>
        <v/>
      </c>
      <c r="M218" s="56" t="str">
        <f>IF($A218="","",IF(I218&gt;=E218,MAXIFS('Daily Transactions'!$A$6:$A$500,'Daily Transactions'!$I$6:$I$500,$O218,'Daily Transactions'!$C$6:$C$500,"Expense"),""))</f>
        <v/>
      </c>
      <c r="N218" s="33"/>
      <c r="O218" s="26" t="str">
        <f t="shared" si="5"/>
        <v/>
      </c>
      <c r="P218" s="33"/>
    </row>
    <row r="219" ht="15.0" customHeight="1">
      <c r="A219" s="29" t="str">
        <f t="shared" si="1"/>
        <v/>
      </c>
      <c r="B219" s="16"/>
      <c r="C219" s="16"/>
      <c r="D219" s="16"/>
      <c r="E219" s="17"/>
      <c r="F219" s="40"/>
      <c r="G219" s="16"/>
      <c r="H219" s="16"/>
      <c r="I219" s="17">
        <f>IF($A219="",0,SUMIFS('Daily Transactions'!$F$6:$F$500,'Daily Transactions'!$I$6:$I$500,$O219,'Daily Transactions'!$C$6:$C$500,"Expense"))</f>
        <v>0</v>
      </c>
      <c r="J219" s="17" t="str">
        <f t="shared" si="2"/>
        <v/>
      </c>
      <c r="K219" s="29" t="str">
        <f t="shared" si="3"/>
        <v/>
      </c>
      <c r="L219" s="29" t="str">
        <f t="shared" si="4"/>
        <v/>
      </c>
      <c r="M219" s="49" t="str">
        <f>IF($A219="","",IF(I219&gt;=E219,MAXIFS('Daily Transactions'!$A$6:$A$500,'Daily Transactions'!$I$6:$I$500,$O219,'Daily Transactions'!$C$6:$C$500,"Expense"),""))</f>
        <v/>
      </c>
      <c r="N219" s="16"/>
      <c r="O219" s="26" t="str">
        <f t="shared" si="5"/>
        <v/>
      </c>
      <c r="P219" s="16"/>
    </row>
    <row r="220" ht="15.0" customHeight="1">
      <c r="A220" s="60" t="str">
        <f t="shared" si="1"/>
        <v/>
      </c>
      <c r="B220" s="33"/>
      <c r="C220" s="33"/>
      <c r="D220" s="33"/>
      <c r="E220" s="61"/>
      <c r="F220" s="32"/>
      <c r="G220" s="33"/>
      <c r="H220" s="33"/>
      <c r="I220" s="61">
        <f>IF($A220="",0,SUMIFS('Daily Transactions'!$F$6:$F$500,'Daily Transactions'!$I$6:$I$500,$O220,'Daily Transactions'!$C$6:$C$500,"Expense"))</f>
        <v>0</v>
      </c>
      <c r="J220" s="61" t="str">
        <f t="shared" si="2"/>
        <v/>
      </c>
      <c r="K220" s="60" t="str">
        <f t="shared" si="3"/>
        <v/>
      </c>
      <c r="L220" s="60" t="str">
        <f t="shared" si="4"/>
        <v/>
      </c>
      <c r="M220" s="56" t="str">
        <f>IF($A220="","",IF(I220&gt;=E220,MAXIFS('Daily Transactions'!$A$6:$A$500,'Daily Transactions'!$I$6:$I$500,$O220,'Daily Transactions'!$C$6:$C$500,"Expense"),""))</f>
        <v/>
      </c>
      <c r="N220" s="33"/>
      <c r="O220" s="26" t="str">
        <f t="shared" si="5"/>
        <v/>
      </c>
      <c r="P220" s="33"/>
    </row>
    <row r="221" ht="15.0" customHeight="1">
      <c r="A221" s="29" t="str">
        <f t="shared" si="1"/>
        <v/>
      </c>
      <c r="B221" s="16"/>
      <c r="C221" s="16"/>
      <c r="D221" s="16"/>
      <c r="E221" s="17"/>
      <c r="F221" s="40"/>
      <c r="G221" s="16"/>
      <c r="H221" s="16"/>
      <c r="I221" s="17">
        <f>IF($A221="",0,SUMIFS('Daily Transactions'!$F$6:$F$500,'Daily Transactions'!$I$6:$I$500,$O221,'Daily Transactions'!$C$6:$C$500,"Expense"))</f>
        <v>0</v>
      </c>
      <c r="J221" s="17" t="str">
        <f t="shared" si="2"/>
        <v/>
      </c>
      <c r="K221" s="29" t="str">
        <f t="shared" si="3"/>
        <v/>
      </c>
      <c r="L221" s="29" t="str">
        <f t="shared" si="4"/>
        <v/>
      </c>
      <c r="M221" s="49" t="str">
        <f>IF($A221="","",IF(I221&gt;=E221,MAXIFS('Daily Transactions'!$A$6:$A$500,'Daily Transactions'!$I$6:$I$500,$O221,'Daily Transactions'!$C$6:$C$500,"Expense"),""))</f>
        <v/>
      </c>
      <c r="N221" s="16"/>
      <c r="O221" s="26" t="str">
        <f t="shared" si="5"/>
        <v/>
      </c>
      <c r="P221" s="16"/>
    </row>
    <row r="222" ht="15.0" customHeight="1">
      <c r="A222" s="60" t="str">
        <f t="shared" si="1"/>
        <v/>
      </c>
      <c r="B222" s="33"/>
      <c r="C222" s="33"/>
      <c r="D222" s="33"/>
      <c r="E222" s="61"/>
      <c r="F222" s="32"/>
      <c r="G222" s="33"/>
      <c r="H222" s="33"/>
      <c r="I222" s="61">
        <f>IF($A222="",0,SUMIFS('Daily Transactions'!$F$6:$F$500,'Daily Transactions'!$I$6:$I$500,$O222,'Daily Transactions'!$C$6:$C$500,"Expense"))</f>
        <v>0</v>
      </c>
      <c r="J222" s="61" t="str">
        <f t="shared" si="2"/>
        <v/>
      </c>
      <c r="K222" s="60" t="str">
        <f t="shared" si="3"/>
        <v/>
      </c>
      <c r="L222" s="60" t="str">
        <f t="shared" si="4"/>
        <v/>
      </c>
      <c r="M222" s="56" t="str">
        <f>IF($A222="","",IF(I222&gt;=E222,MAXIFS('Daily Transactions'!$A$6:$A$500,'Daily Transactions'!$I$6:$I$500,$O222,'Daily Transactions'!$C$6:$C$500,"Expense"),""))</f>
        <v/>
      </c>
      <c r="N222" s="33"/>
      <c r="O222" s="26" t="str">
        <f t="shared" si="5"/>
        <v/>
      </c>
      <c r="P222" s="33"/>
    </row>
    <row r="223" ht="15.0" customHeight="1">
      <c r="A223" s="29" t="str">
        <f t="shared" si="1"/>
        <v/>
      </c>
      <c r="B223" s="16"/>
      <c r="C223" s="16"/>
      <c r="D223" s="16"/>
      <c r="E223" s="17"/>
      <c r="F223" s="40"/>
      <c r="G223" s="16"/>
      <c r="H223" s="16"/>
      <c r="I223" s="17">
        <f>IF($A223="",0,SUMIFS('Daily Transactions'!$F$6:$F$500,'Daily Transactions'!$I$6:$I$500,$O223,'Daily Transactions'!$C$6:$C$500,"Expense"))</f>
        <v>0</v>
      </c>
      <c r="J223" s="17" t="str">
        <f t="shared" si="2"/>
        <v/>
      </c>
      <c r="K223" s="29" t="str">
        <f t="shared" si="3"/>
        <v/>
      </c>
      <c r="L223" s="29" t="str">
        <f t="shared" si="4"/>
        <v/>
      </c>
      <c r="M223" s="49" t="str">
        <f>IF($A223="","",IF(I223&gt;=E223,MAXIFS('Daily Transactions'!$A$6:$A$500,'Daily Transactions'!$I$6:$I$500,$O223,'Daily Transactions'!$C$6:$C$500,"Expense"),""))</f>
        <v/>
      </c>
      <c r="N223" s="16"/>
      <c r="O223" s="26" t="str">
        <f t="shared" si="5"/>
        <v/>
      </c>
      <c r="P223" s="16"/>
    </row>
    <row r="224" ht="15.0" customHeight="1">
      <c r="A224" s="60" t="str">
        <f t="shared" si="1"/>
        <v/>
      </c>
      <c r="B224" s="33"/>
      <c r="C224" s="33"/>
      <c r="D224" s="33"/>
      <c r="E224" s="61"/>
      <c r="F224" s="32"/>
      <c r="G224" s="33"/>
      <c r="H224" s="33"/>
      <c r="I224" s="61">
        <f>IF($A224="",0,SUMIFS('Daily Transactions'!$F$6:$F$500,'Daily Transactions'!$I$6:$I$500,$O224,'Daily Transactions'!$C$6:$C$500,"Expense"))</f>
        <v>0</v>
      </c>
      <c r="J224" s="61" t="str">
        <f t="shared" si="2"/>
        <v/>
      </c>
      <c r="K224" s="60" t="str">
        <f t="shared" si="3"/>
        <v/>
      </c>
      <c r="L224" s="60" t="str">
        <f t="shared" si="4"/>
        <v/>
      </c>
      <c r="M224" s="56" t="str">
        <f>IF($A224="","",IF(I224&gt;=E224,MAXIFS('Daily Transactions'!$A$6:$A$500,'Daily Transactions'!$I$6:$I$500,$O224,'Daily Transactions'!$C$6:$C$500,"Expense"),""))</f>
        <v/>
      </c>
      <c r="N224" s="33"/>
      <c r="O224" s="26" t="str">
        <f t="shared" si="5"/>
        <v/>
      </c>
      <c r="P224" s="33"/>
    </row>
    <row r="225" ht="15.0" customHeight="1">
      <c r="A225" s="29" t="str">
        <f t="shared" si="1"/>
        <v/>
      </c>
      <c r="B225" s="16"/>
      <c r="C225" s="16"/>
      <c r="D225" s="16"/>
      <c r="E225" s="17"/>
      <c r="F225" s="40"/>
      <c r="G225" s="16"/>
      <c r="H225" s="16"/>
      <c r="I225" s="17">
        <f>IF($A225="",0,SUMIFS('Daily Transactions'!$F$6:$F$500,'Daily Transactions'!$I$6:$I$500,$O225,'Daily Transactions'!$C$6:$C$500,"Expense"))</f>
        <v>0</v>
      </c>
      <c r="J225" s="17" t="str">
        <f t="shared" si="2"/>
        <v/>
      </c>
      <c r="K225" s="29" t="str">
        <f t="shared" si="3"/>
        <v/>
      </c>
      <c r="L225" s="29" t="str">
        <f t="shared" si="4"/>
        <v/>
      </c>
      <c r="M225" s="49" t="str">
        <f>IF($A225="","",IF(I225&gt;=E225,MAXIFS('Daily Transactions'!$A$6:$A$500,'Daily Transactions'!$I$6:$I$500,$O225,'Daily Transactions'!$C$6:$C$500,"Expense"),""))</f>
        <v/>
      </c>
      <c r="N225" s="16"/>
      <c r="O225" s="26" t="str">
        <f t="shared" si="5"/>
        <v/>
      </c>
      <c r="P225" s="16"/>
    </row>
    <row r="226" ht="15.0" customHeight="1">
      <c r="A226" s="60" t="str">
        <f t="shared" si="1"/>
        <v/>
      </c>
      <c r="B226" s="33"/>
      <c r="C226" s="33"/>
      <c r="D226" s="33"/>
      <c r="E226" s="61"/>
      <c r="F226" s="32"/>
      <c r="G226" s="33"/>
      <c r="H226" s="33"/>
      <c r="I226" s="61">
        <f>IF($A226="",0,SUMIFS('Daily Transactions'!$F$6:$F$500,'Daily Transactions'!$I$6:$I$500,$O226,'Daily Transactions'!$C$6:$C$500,"Expense"))</f>
        <v>0</v>
      </c>
      <c r="J226" s="61" t="str">
        <f t="shared" si="2"/>
        <v/>
      </c>
      <c r="K226" s="60" t="str">
        <f t="shared" si="3"/>
        <v/>
      </c>
      <c r="L226" s="60" t="str">
        <f t="shared" si="4"/>
        <v/>
      </c>
      <c r="M226" s="56" t="str">
        <f>IF($A226="","",IF(I226&gt;=E226,MAXIFS('Daily Transactions'!$A$6:$A$500,'Daily Transactions'!$I$6:$I$500,$O226,'Daily Transactions'!$C$6:$C$500,"Expense"),""))</f>
        <v/>
      </c>
      <c r="N226" s="33"/>
      <c r="O226" s="26" t="str">
        <f t="shared" si="5"/>
        <v/>
      </c>
      <c r="P226" s="33"/>
    </row>
    <row r="227" ht="15.0" customHeight="1">
      <c r="A227" s="29" t="str">
        <f t="shared" si="1"/>
        <v/>
      </c>
      <c r="B227" s="16"/>
      <c r="C227" s="16"/>
      <c r="D227" s="16"/>
      <c r="E227" s="17"/>
      <c r="F227" s="40"/>
      <c r="G227" s="16"/>
      <c r="H227" s="16"/>
      <c r="I227" s="17">
        <f>IF($A227="",0,SUMIFS('Daily Transactions'!$F$6:$F$500,'Daily Transactions'!$I$6:$I$500,$O227,'Daily Transactions'!$C$6:$C$500,"Expense"))</f>
        <v>0</v>
      </c>
      <c r="J227" s="17" t="str">
        <f t="shared" si="2"/>
        <v/>
      </c>
      <c r="K227" s="29" t="str">
        <f t="shared" si="3"/>
        <v/>
      </c>
      <c r="L227" s="29" t="str">
        <f t="shared" si="4"/>
        <v/>
      </c>
      <c r="M227" s="49" t="str">
        <f>IF($A227="","",IF(I227&gt;=E227,MAXIFS('Daily Transactions'!$A$6:$A$500,'Daily Transactions'!$I$6:$I$500,$O227,'Daily Transactions'!$C$6:$C$500,"Expense"),""))</f>
        <v/>
      </c>
      <c r="N227" s="16"/>
      <c r="O227" s="26" t="str">
        <f t="shared" si="5"/>
        <v/>
      </c>
      <c r="P227" s="16"/>
    </row>
    <row r="228" ht="15.0" customHeight="1">
      <c r="A228" s="60" t="str">
        <f t="shared" si="1"/>
        <v/>
      </c>
      <c r="B228" s="33"/>
      <c r="C228" s="33"/>
      <c r="D228" s="33"/>
      <c r="E228" s="61"/>
      <c r="F228" s="32"/>
      <c r="G228" s="33"/>
      <c r="H228" s="33"/>
      <c r="I228" s="61">
        <f>IF($A228="",0,SUMIFS('Daily Transactions'!$F$6:$F$500,'Daily Transactions'!$I$6:$I$500,$O228,'Daily Transactions'!$C$6:$C$500,"Expense"))</f>
        <v>0</v>
      </c>
      <c r="J228" s="61" t="str">
        <f t="shared" si="2"/>
        <v/>
      </c>
      <c r="K228" s="60" t="str">
        <f t="shared" si="3"/>
        <v/>
      </c>
      <c r="L228" s="60" t="str">
        <f t="shared" si="4"/>
        <v/>
      </c>
      <c r="M228" s="56" t="str">
        <f>IF($A228="","",IF(I228&gt;=E228,MAXIFS('Daily Transactions'!$A$6:$A$500,'Daily Transactions'!$I$6:$I$500,$O228,'Daily Transactions'!$C$6:$C$500,"Expense"),""))</f>
        <v/>
      </c>
      <c r="N228" s="33"/>
      <c r="O228" s="26" t="str">
        <f t="shared" si="5"/>
        <v/>
      </c>
      <c r="P228" s="33"/>
    </row>
    <row r="229" ht="15.0" customHeight="1">
      <c r="A229" s="29" t="str">
        <f t="shared" si="1"/>
        <v/>
      </c>
      <c r="B229" s="16"/>
      <c r="C229" s="16"/>
      <c r="D229" s="16"/>
      <c r="E229" s="17"/>
      <c r="F229" s="40"/>
      <c r="G229" s="16"/>
      <c r="H229" s="16"/>
      <c r="I229" s="17">
        <f>IF($A229="",0,SUMIFS('Daily Transactions'!$F$6:$F$500,'Daily Transactions'!$I$6:$I$500,$O229,'Daily Transactions'!$C$6:$C$500,"Expense"))</f>
        <v>0</v>
      </c>
      <c r="J229" s="17" t="str">
        <f t="shared" si="2"/>
        <v/>
      </c>
      <c r="K229" s="29" t="str">
        <f t="shared" si="3"/>
        <v/>
      </c>
      <c r="L229" s="29" t="str">
        <f t="shared" si="4"/>
        <v/>
      </c>
      <c r="M229" s="49" t="str">
        <f>IF($A229="","",IF(I229&gt;=E229,MAXIFS('Daily Transactions'!$A$6:$A$500,'Daily Transactions'!$I$6:$I$500,$O229,'Daily Transactions'!$C$6:$C$500,"Expense"),""))</f>
        <v/>
      </c>
      <c r="N229" s="16"/>
      <c r="O229" s="26" t="str">
        <f t="shared" si="5"/>
        <v/>
      </c>
      <c r="P229" s="16"/>
    </row>
    <row r="230" ht="15.0" customHeight="1">
      <c r="A230" s="60" t="str">
        <f t="shared" si="1"/>
        <v/>
      </c>
      <c r="B230" s="33"/>
      <c r="C230" s="33"/>
      <c r="D230" s="33"/>
      <c r="E230" s="61"/>
      <c r="F230" s="32"/>
      <c r="G230" s="33"/>
      <c r="H230" s="33"/>
      <c r="I230" s="61">
        <f>IF($A230="",0,SUMIFS('Daily Transactions'!$F$6:$F$500,'Daily Transactions'!$I$6:$I$500,$O230,'Daily Transactions'!$C$6:$C$500,"Expense"))</f>
        <v>0</v>
      </c>
      <c r="J230" s="61" t="str">
        <f t="shared" si="2"/>
        <v/>
      </c>
      <c r="K230" s="60" t="str">
        <f t="shared" si="3"/>
        <v/>
      </c>
      <c r="L230" s="60" t="str">
        <f t="shared" si="4"/>
        <v/>
      </c>
      <c r="M230" s="56" t="str">
        <f>IF($A230="","",IF(I230&gt;=E230,MAXIFS('Daily Transactions'!$A$6:$A$500,'Daily Transactions'!$I$6:$I$500,$O230,'Daily Transactions'!$C$6:$C$500,"Expense"),""))</f>
        <v/>
      </c>
      <c r="N230" s="33"/>
      <c r="O230" s="26" t="str">
        <f t="shared" si="5"/>
        <v/>
      </c>
      <c r="P230" s="33"/>
    </row>
    <row r="231" ht="15.0" customHeight="1">
      <c r="A231" s="29" t="str">
        <f t="shared" si="1"/>
        <v/>
      </c>
      <c r="B231" s="16"/>
      <c r="C231" s="16"/>
      <c r="D231" s="16"/>
      <c r="E231" s="17"/>
      <c r="F231" s="40"/>
      <c r="G231" s="16"/>
      <c r="H231" s="16"/>
      <c r="I231" s="17">
        <f>IF($A231="",0,SUMIFS('Daily Transactions'!$F$6:$F$500,'Daily Transactions'!$I$6:$I$500,$O231,'Daily Transactions'!$C$6:$C$500,"Expense"))</f>
        <v>0</v>
      </c>
      <c r="J231" s="17" t="str">
        <f t="shared" si="2"/>
        <v/>
      </c>
      <c r="K231" s="29" t="str">
        <f t="shared" si="3"/>
        <v/>
      </c>
      <c r="L231" s="29" t="str">
        <f t="shared" si="4"/>
        <v/>
      </c>
      <c r="M231" s="49" t="str">
        <f>IF($A231="","",IF(I231&gt;=E231,MAXIFS('Daily Transactions'!$A$6:$A$500,'Daily Transactions'!$I$6:$I$500,$O231,'Daily Transactions'!$C$6:$C$500,"Expense"),""))</f>
        <v/>
      </c>
      <c r="N231" s="16"/>
      <c r="O231" s="26" t="str">
        <f t="shared" si="5"/>
        <v/>
      </c>
      <c r="P231" s="16"/>
    </row>
    <row r="232" ht="15.0" customHeight="1">
      <c r="A232" s="60" t="str">
        <f t="shared" si="1"/>
        <v/>
      </c>
      <c r="B232" s="33"/>
      <c r="C232" s="33"/>
      <c r="D232" s="33"/>
      <c r="E232" s="61"/>
      <c r="F232" s="32"/>
      <c r="G232" s="33"/>
      <c r="H232" s="33"/>
      <c r="I232" s="61">
        <f>IF($A232="",0,SUMIFS('Daily Transactions'!$F$6:$F$500,'Daily Transactions'!$I$6:$I$500,$O232,'Daily Transactions'!$C$6:$C$500,"Expense"))</f>
        <v>0</v>
      </c>
      <c r="J232" s="61" t="str">
        <f t="shared" si="2"/>
        <v/>
      </c>
      <c r="K232" s="60" t="str">
        <f t="shared" si="3"/>
        <v/>
      </c>
      <c r="L232" s="60" t="str">
        <f t="shared" si="4"/>
        <v/>
      </c>
      <c r="M232" s="56" t="str">
        <f>IF($A232="","",IF(I232&gt;=E232,MAXIFS('Daily Transactions'!$A$6:$A$500,'Daily Transactions'!$I$6:$I$500,$O232,'Daily Transactions'!$C$6:$C$500,"Expense"),""))</f>
        <v/>
      </c>
      <c r="N232" s="33"/>
      <c r="O232" s="26" t="str">
        <f t="shared" si="5"/>
        <v/>
      </c>
      <c r="P232" s="33"/>
    </row>
    <row r="233" ht="15.0" customHeight="1">
      <c r="A233" s="29" t="str">
        <f t="shared" si="1"/>
        <v/>
      </c>
      <c r="B233" s="16"/>
      <c r="C233" s="16"/>
      <c r="D233" s="16"/>
      <c r="E233" s="17"/>
      <c r="F233" s="40"/>
      <c r="G233" s="16"/>
      <c r="H233" s="16"/>
      <c r="I233" s="17">
        <f>IF($A233="",0,SUMIFS('Daily Transactions'!$F$6:$F$500,'Daily Transactions'!$I$6:$I$500,$O233,'Daily Transactions'!$C$6:$C$500,"Expense"))</f>
        <v>0</v>
      </c>
      <c r="J233" s="17" t="str">
        <f t="shared" si="2"/>
        <v/>
      </c>
      <c r="K233" s="29" t="str">
        <f t="shared" si="3"/>
        <v/>
      </c>
      <c r="L233" s="29" t="str">
        <f t="shared" si="4"/>
        <v/>
      </c>
      <c r="M233" s="49" t="str">
        <f>IF($A233="","",IF(I233&gt;=E233,MAXIFS('Daily Transactions'!$A$6:$A$500,'Daily Transactions'!$I$6:$I$500,$O233,'Daily Transactions'!$C$6:$C$500,"Expense"),""))</f>
        <v/>
      </c>
      <c r="N233" s="16"/>
      <c r="O233" s="26" t="str">
        <f t="shared" si="5"/>
        <v/>
      </c>
      <c r="P233" s="16"/>
    </row>
    <row r="234" ht="15.0" customHeight="1">
      <c r="A234" s="60" t="str">
        <f t="shared" si="1"/>
        <v/>
      </c>
      <c r="B234" s="33"/>
      <c r="C234" s="33"/>
      <c r="D234" s="33"/>
      <c r="E234" s="61"/>
      <c r="F234" s="32"/>
      <c r="G234" s="33"/>
      <c r="H234" s="33"/>
      <c r="I234" s="61">
        <f>IF($A234="",0,SUMIFS('Daily Transactions'!$F$6:$F$500,'Daily Transactions'!$I$6:$I$500,$O234,'Daily Transactions'!$C$6:$C$500,"Expense"))</f>
        <v>0</v>
      </c>
      <c r="J234" s="61" t="str">
        <f t="shared" si="2"/>
        <v/>
      </c>
      <c r="K234" s="60" t="str">
        <f t="shared" si="3"/>
        <v/>
      </c>
      <c r="L234" s="60" t="str">
        <f t="shared" si="4"/>
        <v/>
      </c>
      <c r="M234" s="56" t="str">
        <f>IF($A234="","",IF(I234&gt;=E234,MAXIFS('Daily Transactions'!$A$6:$A$500,'Daily Transactions'!$I$6:$I$500,$O234,'Daily Transactions'!$C$6:$C$500,"Expense"),""))</f>
        <v/>
      </c>
      <c r="N234" s="33"/>
      <c r="O234" s="26" t="str">
        <f t="shared" si="5"/>
        <v/>
      </c>
      <c r="P234" s="33"/>
    </row>
    <row r="235" ht="15.0" customHeight="1">
      <c r="A235" s="29" t="str">
        <f t="shared" si="1"/>
        <v/>
      </c>
      <c r="B235" s="16"/>
      <c r="C235" s="16"/>
      <c r="D235" s="16"/>
      <c r="E235" s="17"/>
      <c r="F235" s="40"/>
      <c r="G235" s="16"/>
      <c r="H235" s="16"/>
      <c r="I235" s="17">
        <f>IF($A235="",0,SUMIFS('Daily Transactions'!$F$6:$F$500,'Daily Transactions'!$I$6:$I$500,$O235,'Daily Transactions'!$C$6:$C$500,"Expense"))</f>
        <v>0</v>
      </c>
      <c r="J235" s="17" t="str">
        <f t="shared" si="2"/>
        <v/>
      </c>
      <c r="K235" s="29" t="str">
        <f t="shared" si="3"/>
        <v/>
      </c>
      <c r="L235" s="29" t="str">
        <f t="shared" si="4"/>
        <v/>
      </c>
      <c r="M235" s="49" t="str">
        <f>IF($A235="","",IF(I235&gt;=E235,MAXIFS('Daily Transactions'!$A$6:$A$500,'Daily Transactions'!$I$6:$I$500,$O235,'Daily Transactions'!$C$6:$C$500,"Expense"),""))</f>
        <v/>
      </c>
      <c r="N235" s="16"/>
      <c r="O235" s="26" t="str">
        <f t="shared" si="5"/>
        <v/>
      </c>
      <c r="P235" s="16"/>
    </row>
    <row r="236" ht="15.0" customHeight="1">
      <c r="A236" s="60" t="str">
        <f t="shared" si="1"/>
        <v/>
      </c>
      <c r="B236" s="33"/>
      <c r="C236" s="33"/>
      <c r="D236" s="33"/>
      <c r="E236" s="61"/>
      <c r="F236" s="32"/>
      <c r="G236" s="33"/>
      <c r="H236" s="33"/>
      <c r="I236" s="61">
        <f>IF($A236="",0,SUMIFS('Daily Transactions'!$F$6:$F$500,'Daily Transactions'!$I$6:$I$500,$O236,'Daily Transactions'!$C$6:$C$500,"Expense"))</f>
        <v>0</v>
      </c>
      <c r="J236" s="61" t="str">
        <f t="shared" si="2"/>
        <v/>
      </c>
      <c r="K236" s="60" t="str">
        <f t="shared" si="3"/>
        <v/>
      </c>
      <c r="L236" s="60" t="str">
        <f t="shared" si="4"/>
        <v/>
      </c>
      <c r="M236" s="56" t="str">
        <f>IF($A236="","",IF(I236&gt;=E236,MAXIFS('Daily Transactions'!$A$6:$A$500,'Daily Transactions'!$I$6:$I$500,$O236,'Daily Transactions'!$C$6:$C$500,"Expense"),""))</f>
        <v/>
      </c>
      <c r="N236" s="33"/>
      <c r="O236" s="26" t="str">
        <f t="shared" si="5"/>
        <v/>
      </c>
      <c r="P236" s="33"/>
    </row>
    <row r="237" ht="15.0" customHeight="1">
      <c r="A237" s="29" t="str">
        <f t="shared" si="1"/>
        <v/>
      </c>
      <c r="B237" s="16"/>
      <c r="C237" s="16"/>
      <c r="D237" s="16"/>
      <c r="E237" s="17"/>
      <c r="F237" s="40"/>
      <c r="G237" s="16"/>
      <c r="H237" s="16"/>
      <c r="I237" s="17">
        <f>IF($A237="",0,SUMIFS('Daily Transactions'!$F$6:$F$500,'Daily Transactions'!$I$6:$I$500,$O237,'Daily Transactions'!$C$6:$C$500,"Expense"))</f>
        <v>0</v>
      </c>
      <c r="J237" s="17" t="str">
        <f t="shared" si="2"/>
        <v/>
      </c>
      <c r="K237" s="29" t="str">
        <f t="shared" si="3"/>
        <v/>
      </c>
      <c r="L237" s="29" t="str">
        <f t="shared" si="4"/>
        <v/>
      </c>
      <c r="M237" s="49" t="str">
        <f>IF($A237="","",IF(I237&gt;=E237,MAXIFS('Daily Transactions'!$A$6:$A$500,'Daily Transactions'!$I$6:$I$500,$O237,'Daily Transactions'!$C$6:$C$500,"Expense"),""))</f>
        <v/>
      </c>
      <c r="N237" s="16"/>
      <c r="O237" s="26" t="str">
        <f t="shared" si="5"/>
        <v/>
      </c>
      <c r="P237" s="16"/>
    </row>
    <row r="238" ht="15.0" customHeight="1">
      <c r="A238" s="60" t="str">
        <f t="shared" si="1"/>
        <v/>
      </c>
      <c r="B238" s="33"/>
      <c r="C238" s="33"/>
      <c r="D238" s="33"/>
      <c r="E238" s="61"/>
      <c r="F238" s="32"/>
      <c r="G238" s="33"/>
      <c r="H238" s="33"/>
      <c r="I238" s="61">
        <f>IF($A238="",0,SUMIFS('Daily Transactions'!$F$6:$F$500,'Daily Transactions'!$I$6:$I$500,$O238,'Daily Transactions'!$C$6:$C$500,"Expense"))</f>
        <v>0</v>
      </c>
      <c r="J238" s="61" t="str">
        <f t="shared" si="2"/>
        <v/>
      </c>
      <c r="K238" s="60" t="str">
        <f t="shared" si="3"/>
        <v/>
      </c>
      <c r="L238" s="60" t="str">
        <f t="shared" si="4"/>
        <v/>
      </c>
      <c r="M238" s="56" t="str">
        <f>IF($A238="","",IF(I238&gt;=E238,MAXIFS('Daily Transactions'!$A$6:$A$500,'Daily Transactions'!$I$6:$I$500,$O238,'Daily Transactions'!$C$6:$C$500,"Expense"),""))</f>
        <v/>
      </c>
      <c r="N238" s="33"/>
      <c r="O238" s="26" t="str">
        <f t="shared" si="5"/>
        <v/>
      </c>
      <c r="P238" s="33"/>
    </row>
    <row r="239" ht="15.0" customHeight="1">
      <c r="A239" s="29" t="str">
        <f t="shared" si="1"/>
        <v/>
      </c>
      <c r="B239" s="16"/>
      <c r="C239" s="16"/>
      <c r="D239" s="16"/>
      <c r="E239" s="17"/>
      <c r="F239" s="40"/>
      <c r="G239" s="16"/>
      <c r="H239" s="16"/>
      <c r="I239" s="17">
        <f>IF($A239="",0,SUMIFS('Daily Transactions'!$F$6:$F$500,'Daily Transactions'!$I$6:$I$500,$O239,'Daily Transactions'!$C$6:$C$500,"Expense"))</f>
        <v>0</v>
      </c>
      <c r="J239" s="17" t="str">
        <f t="shared" si="2"/>
        <v/>
      </c>
      <c r="K239" s="29" t="str">
        <f t="shared" si="3"/>
        <v/>
      </c>
      <c r="L239" s="29" t="str">
        <f t="shared" si="4"/>
        <v/>
      </c>
      <c r="M239" s="49" t="str">
        <f>IF($A239="","",IF(I239&gt;=E239,MAXIFS('Daily Transactions'!$A$6:$A$500,'Daily Transactions'!$I$6:$I$500,$O239,'Daily Transactions'!$C$6:$C$500,"Expense"),""))</f>
        <v/>
      </c>
      <c r="N239" s="16"/>
      <c r="O239" s="26" t="str">
        <f t="shared" si="5"/>
        <v/>
      </c>
      <c r="P239" s="16"/>
    </row>
    <row r="240" ht="15.0" customHeight="1">
      <c r="A240" s="60" t="str">
        <f t="shared" si="1"/>
        <v/>
      </c>
      <c r="B240" s="33"/>
      <c r="C240" s="33"/>
      <c r="D240" s="33"/>
      <c r="E240" s="61"/>
      <c r="F240" s="32"/>
      <c r="G240" s="33"/>
      <c r="H240" s="33"/>
      <c r="I240" s="61">
        <f>IF($A240="",0,SUMIFS('Daily Transactions'!$F$6:$F$500,'Daily Transactions'!$I$6:$I$500,$O240,'Daily Transactions'!$C$6:$C$500,"Expense"))</f>
        <v>0</v>
      </c>
      <c r="J240" s="61" t="str">
        <f t="shared" si="2"/>
        <v/>
      </c>
      <c r="K240" s="60" t="str">
        <f t="shared" si="3"/>
        <v/>
      </c>
      <c r="L240" s="60" t="str">
        <f t="shared" si="4"/>
        <v/>
      </c>
      <c r="M240" s="56" t="str">
        <f>IF($A240="","",IF(I240&gt;=E240,MAXIFS('Daily Transactions'!$A$6:$A$500,'Daily Transactions'!$I$6:$I$500,$O240,'Daily Transactions'!$C$6:$C$500,"Expense"),""))</f>
        <v/>
      </c>
      <c r="N240" s="33"/>
      <c r="O240" s="26" t="str">
        <f t="shared" si="5"/>
        <v/>
      </c>
      <c r="P240" s="33"/>
    </row>
    <row r="241" ht="15.0" customHeight="1">
      <c r="A241" s="29" t="str">
        <f t="shared" si="1"/>
        <v/>
      </c>
      <c r="B241" s="16"/>
      <c r="C241" s="16"/>
      <c r="D241" s="16"/>
      <c r="E241" s="17"/>
      <c r="F241" s="40"/>
      <c r="G241" s="16"/>
      <c r="H241" s="16"/>
      <c r="I241" s="17">
        <f>IF($A241="",0,SUMIFS('Daily Transactions'!$F$6:$F$500,'Daily Transactions'!$I$6:$I$500,$O241,'Daily Transactions'!$C$6:$C$500,"Expense"))</f>
        <v>0</v>
      </c>
      <c r="J241" s="17" t="str">
        <f t="shared" si="2"/>
        <v/>
      </c>
      <c r="K241" s="29" t="str">
        <f t="shared" si="3"/>
        <v/>
      </c>
      <c r="L241" s="29" t="str">
        <f t="shared" si="4"/>
        <v/>
      </c>
      <c r="M241" s="49" t="str">
        <f>IF($A241="","",IF(I241&gt;=E241,MAXIFS('Daily Transactions'!$A$6:$A$500,'Daily Transactions'!$I$6:$I$500,$O241,'Daily Transactions'!$C$6:$C$500,"Expense"),""))</f>
        <v/>
      </c>
      <c r="N241" s="16"/>
      <c r="O241" s="26" t="str">
        <f t="shared" si="5"/>
        <v/>
      </c>
      <c r="P241" s="16"/>
    </row>
    <row r="242" ht="15.0" customHeight="1">
      <c r="A242" s="60" t="str">
        <f t="shared" si="1"/>
        <v/>
      </c>
      <c r="B242" s="33"/>
      <c r="C242" s="33"/>
      <c r="D242" s="33"/>
      <c r="E242" s="61"/>
      <c r="F242" s="32"/>
      <c r="G242" s="33"/>
      <c r="H242" s="33"/>
      <c r="I242" s="61">
        <f>IF($A242="",0,SUMIFS('Daily Transactions'!$F$6:$F$500,'Daily Transactions'!$I$6:$I$500,$O242,'Daily Transactions'!$C$6:$C$500,"Expense"))</f>
        <v>0</v>
      </c>
      <c r="J242" s="61" t="str">
        <f t="shared" si="2"/>
        <v/>
      </c>
      <c r="K242" s="60" t="str">
        <f t="shared" si="3"/>
        <v/>
      </c>
      <c r="L242" s="60" t="str">
        <f t="shared" si="4"/>
        <v/>
      </c>
      <c r="M242" s="56" t="str">
        <f>IF($A242="","",IF(I242&gt;=E242,MAXIFS('Daily Transactions'!$A$6:$A$500,'Daily Transactions'!$I$6:$I$500,$O242,'Daily Transactions'!$C$6:$C$500,"Expense"),""))</f>
        <v/>
      </c>
      <c r="N242" s="33"/>
      <c r="O242" s="26" t="str">
        <f t="shared" si="5"/>
        <v/>
      </c>
      <c r="P242" s="33"/>
    </row>
    <row r="243" ht="15.0" customHeight="1">
      <c r="A243" s="29" t="str">
        <f t="shared" si="1"/>
        <v/>
      </c>
      <c r="B243" s="16"/>
      <c r="C243" s="16"/>
      <c r="D243" s="16"/>
      <c r="E243" s="17"/>
      <c r="F243" s="40"/>
      <c r="G243" s="16"/>
      <c r="H243" s="16"/>
      <c r="I243" s="17">
        <f>IF($A243="",0,SUMIFS('Daily Transactions'!$F$6:$F$500,'Daily Transactions'!$I$6:$I$500,$O243,'Daily Transactions'!$C$6:$C$500,"Expense"))</f>
        <v>0</v>
      </c>
      <c r="J243" s="17" t="str">
        <f t="shared" si="2"/>
        <v/>
      </c>
      <c r="K243" s="29" t="str">
        <f t="shared" si="3"/>
        <v/>
      </c>
      <c r="L243" s="29" t="str">
        <f t="shared" si="4"/>
        <v/>
      </c>
      <c r="M243" s="49" t="str">
        <f>IF($A243="","",IF(I243&gt;=E243,MAXIFS('Daily Transactions'!$A$6:$A$500,'Daily Transactions'!$I$6:$I$500,$O243,'Daily Transactions'!$C$6:$C$500,"Expense"),""))</f>
        <v/>
      </c>
      <c r="N243" s="16"/>
      <c r="O243" s="26" t="str">
        <f t="shared" si="5"/>
        <v/>
      </c>
      <c r="P243" s="16"/>
    </row>
    <row r="244" ht="15.0" customHeight="1">
      <c r="A244" s="60" t="str">
        <f t="shared" si="1"/>
        <v/>
      </c>
      <c r="B244" s="33"/>
      <c r="C244" s="33"/>
      <c r="D244" s="33"/>
      <c r="E244" s="61"/>
      <c r="F244" s="32"/>
      <c r="G244" s="33"/>
      <c r="H244" s="33"/>
      <c r="I244" s="61">
        <f>IF($A244="",0,SUMIFS('Daily Transactions'!$F$6:$F$500,'Daily Transactions'!$I$6:$I$500,$O244,'Daily Transactions'!$C$6:$C$500,"Expense"))</f>
        <v>0</v>
      </c>
      <c r="J244" s="61" t="str">
        <f t="shared" si="2"/>
        <v/>
      </c>
      <c r="K244" s="60" t="str">
        <f t="shared" si="3"/>
        <v/>
      </c>
      <c r="L244" s="60" t="str">
        <f t="shared" si="4"/>
        <v/>
      </c>
      <c r="M244" s="56" t="str">
        <f>IF($A244="","",IF(I244&gt;=E244,MAXIFS('Daily Transactions'!$A$6:$A$500,'Daily Transactions'!$I$6:$I$500,$O244,'Daily Transactions'!$C$6:$C$500,"Expense"),""))</f>
        <v/>
      </c>
      <c r="N244" s="33"/>
      <c r="O244" s="26" t="str">
        <f t="shared" si="5"/>
        <v/>
      </c>
      <c r="P244" s="33"/>
    </row>
    <row r="245" ht="15.0" customHeight="1">
      <c r="A245" s="29" t="str">
        <f t="shared" si="1"/>
        <v/>
      </c>
      <c r="B245" s="16"/>
      <c r="C245" s="16"/>
      <c r="D245" s="16"/>
      <c r="E245" s="17"/>
      <c r="F245" s="40"/>
      <c r="G245" s="16"/>
      <c r="H245" s="16"/>
      <c r="I245" s="17">
        <f>IF($A245="",0,SUMIFS('Daily Transactions'!$F$6:$F$500,'Daily Transactions'!$I$6:$I$500,$O245,'Daily Transactions'!$C$6:$C$500,"Expense"))</f>
        <v>0</v>
      </c>
      <c r="J245" s="17" t="str">
        <f t="shared" si="2"/>
        <v/>
      </c>
      <c r="K245" s="29" t="str">
        <f t="shared" si="3"/>
        <v/>
      </c>
      <c r="L245" s="29" t="str">
        <f t="shared" si="4"/>
        <v/>
      </c>
      <c r="M245" s="49" t="str">
        <f>IF($A245="","",IF(I245&gt;=E245,MAXIFS('Daily Transactions'!$A$6:$A$500,'Daily Transactions'!$I$6:$I$500,$O245,'Daily Transactions'!$C$6:$C$500,"Expense"),""))</f>
        <v/>
      </c>
      <c r="N245" s="16"/>
      <c r="O245" s="26" t="str">
        <f t="shared" si="5"/>
        <v/>
      </c>
      <c r="P245" s="16"/>
    </row>
    <row r="246" ht="15.0" customHeight="1">
      <c r="A246" s="60" t="str">
        <f t="shared" si="1"/>
        <v/>
      </c>
      <c r="B246" s="33"/>
      <c r="C246" s="33"/>
      <c r="D246" s="33"/>
      <c r="E246" s="61"/>
      <c r="F246" s="32"/>
      <c r="G246" s="33"/>
      <c r="H246" s="33"/>
      <c r="I246" s="61">
        <f>IF($A246="",0,SUMIFS('Daily Transactions'!$F$6:$F$500,'Daily Transactions'!$I$6:$I$500,$O246,'Daily Transactions'!$C$6:$C$500,"Expense"))</f>
        <v>0</v>
      </c>
      <c r="J246" s="61" t="str">
        <f t="shared" si="2"/>
        <v/>
      </c>
      <c r="K246" s="60" t="str">
        <f t="shared" si="3"/>
        <v/>
      </c>
      <c r="L246" s="60" t="str">
        <f t="shared" si="4"/>
        <v/>
      </c>
      <c r="M246" s="56" t="str">
        <f>IF($A246="","",IF(I246&gt;=E246,MAXIFS('Daily Transactions'!$A$6:$A$500,'Daily Transactions'!$I$6:$I$500,$O246,'Daily Transactions'!$C$6:$C$500,"Expense"),""))</f>
        <v/>
      </c>
      <c r="N246" s="33"/>
      <c r="O246" s="26" t="str">
        <f t="shared" si="5"/>
        <v/>
      </c>
      <c r="P246" s="33"/>
    </row>
    <row r="247" ht="15.0" customHeight="1">
      <c r="A247" s="29" t="str">
        <f t="shared" si="1"/>
        <v/>
      </c>
      <c r="B247" s="16"/>
      <c r="C247" s="16"/>
      <c r="D247" s="16"/>
      <c r="E247" s="17"/>
      <c r="F247" s="40"/>
      <c r="G247" s="16"/>
      <c r="H247" s="16"/>
      <c r="I247" s="17">
        <f>IF($A247="",0,SUMIFS('Daily Transactions'!$F$6:$F$500,'Daily Transactions'!$I$6:$I$500,$O247,'Daily Transactions'!$C$6:$C$500,"Expense"))</f>
        <v>0</v>
      </c>
      <c r="J247" s="17" t="str">
        <f t="shared" si="2"/>
        <v/>
      </c>
      <c r="K247" s="29" t="str">
        <f t="shared" si="3"/>
        <v/>
      </c>
      <c r="L247" s="29" t="str">
        <f t="shared" si="4"/>
        <v/>
      </c>
      <c r="M247" s="49" t="str">
        <f>IF($A247="","",IF(I247&gt;=E247,MAXIFS('Daily Transactions'!$A$6:$A$500,'Daily Transactions'!$I$6:$I$500,$O247,'Daily Transactions'!$C$6:$C$500,"Expense"),""))</f>
        <v/>
      </c>
      <c r="N247" s="16"/>
      <c r="O247" s="26" t="str">
        <f t="shared" si="5"/>
        <v/>
      </c>
      <c r="P247" s="16"/>
    </row>
    <row r="248" ht="15.0" customHeight="1">
      <c r="A248" s="60" t="str">
        <f t="shared" si="1"/>
        <v/>
      </c>
      <c r="B248" s="33"/>
      <c r="C248" s="33"/>
      <c r="D248" s="33"/>
      <c r="E248" s="61"/>
      <c r="F248" s="32"/>
      <c r="G248" s="33"/>
      <c r="H248" s="33"/>
      <c r="I248" s="61">
        <f>IF($A248="",0,SUMIFS('Daily Transactions'!$F$6:$F$500,'Daily Transactions'!$I$6:$I$500,$O248,'Daily Transactions'!$C$6:$C$500,"Expense"))</f>
        <v>0</v>
      </c>
      <c r="J248" s="61" t="str">
        <f t="shared" si="2"/>
        <v/>
      </c>
      <c r="K248" s="60" t="str">
        <f t="shared" si="3"/>
        <v/>
      </c>
      <c r="L248" s="60" t="str">
        <f t="shared" si="4"/>
        <v/>
      </c>
      <c r="M248" s="56" t="str">
        <f>IF($A248="","",IF(I248&gt;=E248,MAXIFS('Daily Transactions'!$A$6:$A$500,'Daily Transactions'!$I$6:$I$500,$O248,'Daily Transactions'!$C$6:$C$500,"Expense"),""))</f>
        <v/>
      </c>
      <c r="N248" s="33"/>
      <c r="O248" s="26" t="str">
        <f t="shared" si="5"/>
        <v/>
      </c>
      <c r="P248" s="33"/>
    </row>
    <row r="249" ht="15.0" customHeight="1">
      <c r="A249" s="29" t="str">
        <f t="shared" si="1"/>
        <v/>
      </c>
      <c r="B249" s="16"/>
      <c r="C249" s="16"/>
      <c r="D249" s="16"/>
      <c r="E249" s="17"/>
      <c r="F249" s="40"/>
      <c r="G249" s="16"/>
      <c r="H249" s="16"/>
      <c r="I249" s="17">
        <f>IF($A249="",0,SUMIFS('Daily Transactions'!$F$6:$F$500,'Daily Transactions'!$I$6:$I$500,$O249,'Daily Transactions'!$C$6:$C$500,"Expense"))</f>
        <v>0</v>
      </c>
      <c r="J249" s="17" t="str">
        <f t="shared" si="2"/>
        <v/>
      </c>
      <c r="K249" s="29" t="str">
        <f t="shared" si="3"/>
        <v/>
      </c>
      <c r="L249" s="29" t="str">
        <f t="shared" si="4"/>
        <v/>
      </c>
      <c r="M249" s="49" t="str">
        <f>IF($A249="","",IF(I249&gt;=E249,MAXIFS('Daily Transactions'!$A$6:$A$500,'Daily Transactions'!$I$6:$I$500,$O249,'Daily Transactions'!$C$6:$C$500,"Expense"),""))</f>
        <v/>
      </c>
      <c r="N249" s="16"/>
      <c r="O249" s="26" t="str">
        <f t="shared" si="5"/>
        <v/>
      </c>
      <c r="P249" s="16"/>
    </row>
    <row r="250" ht="15.0" customHeight="1">
      <c r="A250" s="60" t="str">
        <f t="shared" si="1"/>
        <v/>
      </c>
      <c r="B250" s="33"/>
      <c r="C250" s="33"/>
      <c r="D250" s="33"/>
      <c r="E250" s="61"/>
      <c r="F250" s="32"/>
      <c r="G250" s="33"/>
      <c r="H250" s="33"/>
      <c r="I250" s="61">
        <f>IF($A250="",0,SUMIFS('Daily Transactions'!$F$6:$F$500,'Daily Transactions'!$I$6:$I$500,$O250,'Daily Transactions'!$C$6:$C$500,"Expense"))</f>
        <v>0</v>
      </c>
      <c r="J250" s="61" t="str">
        <f t="shared" si="2"/>
        <v/>
      </c>
      <c r="K250" s="60" t="str">
        <f t="shared" si="3"/>
        <v/>
      </c>
      <c r="L250" s="60" t="str">
        <f t="shared" si="4"/>
        <v/>
      </c>
      <c r="M250" s="56" t="str">
        <f>IF($A250="","",IF(I250&gt;=E250,MAXIFS('Daily Transactions'!$A$6:$A$500,'Daily Transactions'!$I$6:$I$500,$O250,'Daily Transactions'!$C$6:$C$500,"Expense"),""))</f>
        <v/>
      </c>
      <c r="N250" s="33"/>
      <c r="O250" s="26" t="str">
        <f t="shared" si="5"/>
        <v/>
      </c>
      <c r="P250" s="33"/>
    </row>
    <row r="251" ht="15.0" customHeight="1">
      <c r="A251" s="29" t="str">
        <f t="shared" si="1"/>
        <v/>
      </c>
      <c r="B251" s="16"/>
      <c r="C251" s="16"/>
      <c r="D251" s="16"/>
      <c r="E251" s="17"/>
      <c r="F251" s="40"/>
      <c r="G251" s="16"/>
      <c r="H251" s="16"/>
      <c r="I251" s="17">
        <f>IF($A251="",0,SUMIFS('Daily Transactions'!$F$6:$F$500,'Daily Transactions'!$I$6:$I$500,$O251,'Daily Transactions'!$C$6:$C$500,"Expense"))</f>
        <v>0</v>
      </c>
      <c r="J251" s="17" t="str">
        <f t="shared" si="2"/>
        <v/>
      </c>
      <c r="K251" s="29" t="str">
        <f t="shared" si="3"/>
        <v/>
      </c>
      <c r="L251" s="29" t="str">
        <f t="shared" si="4"/>
        <v/>
      </c>
      <c r="M251" s="49" t="str">
        <f>IF($A251="","",IF(I251&gt;=E251,MAXIFS('Daily Transactions'!$A$6:$A$500,'Daily Transactions'!$I$6:$I$500,$O251,'Daily Transactions'!$C$6:$C$500,"Expense"),""))</f>
        <v/>
      </c>
      <c r="N251" s="16"/>
      <c r="O251" s="26" t="str">
        <f t="shared" si="5"/>
        <v/>
      </c>
      <c r="P251" s="16"/>
    </row>
    <row r="252" ht="15.0" customHeight="1">
      <c r="A252" s="60" t="str">
        <f t="shared" si="1"/>
        <v/>
      </c>
      <c r="B252" s="33"/>
      <c r="C252" s="33"/>
      <c r="D252" s="33"/>
      <c r="E252" s="61"/>
      <c r="F252" s="32"/>
      <c r="G252" s="33"/>
      <c r="H252" s="33"/>
      <c r="I252" s="61">
        <f>IF($A252="",0,SUMIFS('Daily Transactions'!$F$6:$F$500,'Daily Transactions'!$I$6:$I$500,$O252,'Daily Transactions'!$C$6:$C$500,"Expense"))</f>
        <v>0</v>
      </c>
      <c r="J252" s="61" t="str">
        <f t="shared" si="2"/>
        <v/>
      </c>
      <c r="K252" s="60" t="str">
        <f t="shared" si="3"/>
        <v/>
      </c>
      <c r="L252" s="60" t="str">
        <f t="shared" si="4"/>
        <v/>
      </c>
      <c r="M252" s="56" t="str">
        <f>IF($A252="","",IF(I252&gt;=E252,MAXIFS('Daily Transactions'!$A$6:$A$500,'Daily Transactions'!$I$6:$I$500,$O252,'Daily Transactions'!$C$6:$C$500,"Expense"),""))</f>
        <v/>
      </c>
      <c r="N252" s="33"/>
      <c r="O252" s="26" t="str">
        <f t="shared" si="5"/>
        <v/>
      </c>
      <c r="P252" s="33"/>
    </row>
    <row r="253" ht="15.0" customHeight="1">
      <c r="A253" s="29" t="str">
        <f t="shared" si="1"/>
        <v/>
      </c>
      <c r="B253" s="16"/>
      <c r="C253" s="16"/>
      <c r="D253" s="16"/>
      <c r="E253" s="17"/>
      <c r="F253" s="40"/>
      <c r="G253" s="16"/>
      <c r="H253" s="16"/>
      <c r="I253" s="17">
        <f>IF($A253="",0,SUMIFS('Daily Transactions'!$F$6:$F$500,'Daily Transactions'!$I$6:$I$500,$O253,'Daily Transactions'!$C$6:$C$500,"Expense"))</f>
        <v>0</v>
      </c>
      <c r="J253" s="17" t="str">
        <f t="shared" si="2"/>
        <v/>
      </c>
      <c r="K253" s="29" t="str">
        <f t="shared" si="3"/>
        <v/>
      </c>
      <c r="L253" s="29" t="str">
        <f t="shared" si="4"/>
        <v/>
      </c>
      <c r="M253" s="49" t="str">
        <f>IF($A253="","",IF(I253&gt;=E253,MAXIFS('Daily Transactions'!$A$6:$A$500,'Daily Transactions'!$I$6:$I$500,$O253,'Daily Transactions'!$C$6:$C$500,"Expense"),""))</f>
        <v/>
      </c>
      <c r="N253" s="16"/>
      <c r="O253" s="26" t="str">
        <f t="shared" si="5"/>
        <v/>
      </c>
      <c r="P253" s="16"/>
    </row>
    <row r="254" ht="15.0" customHeight="1">
      <c r="A254" s="60" t="str">
        <f t="shared" si="1"/>
        <v/>
      </c>
      <c r="B254" s="33"/>
      <c r="C254" s="33"/>
      <c r="D254" s="33"/>
      <c r="E254" s="61"/>
      <c r="F254" s="32"/>
      <c r="G254" s="33"/>
      <c r="H254" s="33"/>
      <c r="I254" s="61">
        <f>IF($A254="",0,SUMIFS('Daily Transactions'!$F$6:$F$500,'Daily Transactions'!$I$6:$I$500,$O254,'Daily Transactions'!$C$6:$C$500,"Expense"))</f>
        <v>0</v>
      </c>
      <c r="J254" s="61" t="str">
        <f t="shared" si="2"/>
        <v/>
      </c>
      <c r="K254" s="60" t="str">
        <f t="shared" si="3"/>
        <v/>
      </c>
      <c r="L254" s="60" t="str">
        <f t="shared" si="4"/>
        <v/>
      </c>
      <c r="M254" s="56" t="str">
        <f>IF($A254="","",IF(I254&gt;=E254,MAXIFS('Daily Transactions'!$A$6:$A$500,'Daily Transactions'!$I$6:$I$500,$O254,'Daily Transactions'!$C$6:$C$500,"Expense"),""))</f>
        <v/>
      </c>
      <c r="N254" s="33"/>
      <c r="O254" s="26" t="str">
        <f t="shared" si="5"/>
        <v/>
      </c>
      <c r="P254" s="33"/>
    </row>
    <row r="255" ht="15.0" customHeight="1">
      <c r="A255" s="29" t="str">
        <f t="shared" si="1"/>
        <v/>
      </c>
      <c r="B255" s="16"/>
      <c r="C255" s="16"/>
      <c r="D255" s="16"/>
      <c r="E255" s="17"/>
      <c r="F255" s="40"/>
      <c r="G255" s="16"/>
      <c r="H255" s="16"/>
      <c r="I255" s="17">
        <f>IF($A255="",0,SUMIFS('Daily Transactions'!$F$6:$F$500,'Daily Transactions'!$I$6:$I$500,$O255,'Daily Transactions'!$C$6:$C$500,"Expense"))</f>
        <v>0</v>
      </c>
      <c r="J255" s="17" t="str">
        <f t="shared" si="2"/>
        <v/>
      </c>
      <c r="K255" s="29" t="str">
        <f t="shared" si="3"/>
        <v/>
      </c>
      <c r="L255" s="29" t="str">
        <f t="shared" si="4"/>
        <v/>
      </c>
      <c r="M255" s="49" t="str">
        <f>IF($A255="","",IF(I255&gt;=E255,MAXIFS('Daily Transactions'!$A$6:$A$500,'Daily Transactions'!$I$6:$I$500,$O255,'Daily Transactions'!$C$6:$C$500,"Expense"),""))</f>
        <v/>
      </c>
      <c r="N255" s="16"/>
      <c r="O255" s="26" t="str">
        <f t="shared" si="5"/>
        <v/>
      </c>
      <c r="P255" s="16"/>
    </row>
    <row r="256" ht="15.0" customHeight="1">
      <c r="A256" s="60" t="str">
        <f t="shared" si="1"/>
        <v/>
      </c>
      <c r="B256" s="33"/>
      <c r="C256" s="33"/>
      <c r="D256" s="33"/>
      <c r="E256" s="61"/>
      <c r="F256" s="32"/>
      <c r="G256" s="33"/>
      <c r="H256" s="33"/>
      <c r="I256" s="61">
        <f>IF($A256="",0,SUMIFS('Daily Transactions'!$F$6:$F$500,'Daily Transactions'!$I$6:$I$500,$O256,'Daily Transactions'!$C$6:$C$500,"Expense"))</f>
        <v>0</v>
      </c>
      <c r="J256" s="61" t="str">
        <f t="shared" si="2"/>
        <v/>
      </c>
      <c r="K256" s="60" t="str">
        <f t="shared" si="3"/>
        <v/>
      </c>
      <c r="L256" s="60" t="str">
        <f t="shared" si="4"/>
        <v/>
      </c>
      <c r="M256" s="56" t="str">
        <f>IF($A256="","",IF(I256&gt;=E256,MAXIFS('Daily Transactions'!$A$6:$A$500,'Daily Transactions'!$I$6:$I$500,$O256,'Daily Transactions'!$C$6:$C$500,"Expense"),""))</f>
        <v/>
      </c>
      <c r="N256" s="33"/>
      <c r="O256" s="26" t="str">
        <f t="shared" si="5"/>
        <v/>
      </c>
      <c r="P256" s="33"/>
    </row>
    <row r="257" ht="15.0" customHeight="1">
      <c r="A257" s="29" t="str">
        <f t="shared" si="1"/>
        <v/>
      </c>
      <c r="B257" s="16"/>
      <c r="C257" s="16"/>
      <c r="D257" s="16"/>
      <c r="E257" s="17"/>
      <c r="F257" s="40"/>
      <c r="G257" s="16"/>
      <c r="H257" s="16"/>
      <c r="I257" s="17">
        <f>IF($A257="",0,SUMIFS('Daily Transactions'!$F$6:$F$500,'Daily Transactions'!$I$6:$I$500,$O257,'Daily Transactions'!$C$6:$C$500,"Expense"))</f>
        <v>0</v>
      </c>
      <c r="J257" s="17" t="str">
        <f t="shared" si="2"/>
        <v/>
      </c>
      <c r="K257" s="29" t="str">
        <f t="shared" si="3"/>
        <v/>
      </c>
      <c r="L257" s="29" t="str">
        <f t="shared" si="4"/>
        <v/>
      </c>
      <c r="M257" s="49" t="str">
        <f>IF($A257="","",IF(I257&gt;=E257,MAXIFS('Daily Transactions'!$A$6:$A$500,'Daily Transactions'!$I$6:$I$500,$O257,'Daily Transactions'!$C$6:$C$500,"Expense"),""))</f>
        <v/>
      </c>
      <c r="N257" s="16"/>
      <c r="O257" s="26" t="str">
        <f t="shared" si="5"/>
        <v/>
      </c>
      <c r="P257" s="16"/>
    </row>
    <row r="258" ht="15.0" customHeight="1">
      <c r="A258" s="60" t="str">
        <f t="shared" si="1"/>
        <v/>
      </c>
      <c r="B258" s="33"/>
      <c r="C258" s="33"/>
      <c r="D258" s="33"/>
      <c r="E258" s="61"/>
      <c r="F258" s="32"/>
      <c r="G258" s="33"/>
      <c r="H258" s="33"/>
      <c r="I258" s="61">
        <f>IF($A258="",0,SUMIFS('Daily Transactions'!$F$6:$F$500,'Daily Transactions'!$I$6:$I$500,$O258,'Daily Transactions'!$C$6:$C$500,"Expense"))</f>
        <v>0</v>
      </c>
      <c r="J258" s="61" t="str">
        <f t="shared" si="2"/>
        <v/>
      </c>
      <c r="K258" s="60" t="str">
        <f t="shared" si="3"/>
        <v/>
      </c>
      <c r="L258" s="60" t="str">
        <f t="shared" si="4"/>
        <v/>
      </c>
      <c r="M258" s="56" t="str">
        <f>IF($A258="","",IF(I258&gt;=E258,MAXIFS('Daily Transactions'!$A$6:$A$500,'Daily Transactions'!$I$6:$I$500,$O258,'Daily Transactions'!$C$6:$C$500,"Expense"),""))</f>
        <v/>
      </c>
      <c r="N258" s="33"/>
      <c r="O258" s="26" t="str">
        <f t="shared" si="5"/>
        <v/>
      </c>
      <c r="P258" s="33"/>
    </row>
    <row r="259" ht="15.0" customHeight="1">
      <c r="A259" s="29" t="str">
        <f t="shared" si="1"/>
        <v/>
      </c>
      <c r="B259" s="16"/>
      <c r="C259" s="16"/>
      <c r="D259" s="16"/>
      <c r="E259" s="17"/>
      <c r="F259" s="40"/>
      <c r="G259" s="16"/>
      <c r="H259" s="16"/>
      <c r="I259" s="17">
        <f>IF($A259="",0,SUMIFS('Daily Transactions'!$F$6:$F$500,'Daily Transactions'!$I$6:$I$500,$O259,'Daily Transactions'!$C$6:$C$500,"Expense"))</f>
        <v>0</v>
      </c>
      <c r="J259" s="17" t="str">
        <f t="shared" si="2"/>
        <v/>
      </c>
      <c r="K259" s="29" t="str">
        <f t="shared" si="3"/>
        <v/>
      </c>
      <c r="L259" s="29" t="str">
        <f t="shared" si="4"/>
        <v/>
      </c>
      <c r="M259" s="49" t="str">
        <f>IF($A259="","",IF(I259&gt;=E259,MAXIFS('Daily Transactions'!$A$6:$A$500,'Daily Transactions'!$I$6:$I$500,$O259,'Daily Transactions'!$C$6:$C$500,"Expense"),""))</f>
        <v/>
      </c>
      <c r="N259" s="16"/>
      <c r="O259" s="26" t="str">
        <f t="shared" si="5"/>
        <v/>
      </c>
      <c r="P259" s="16"/>
    </row>
    <row r="260" ht="15.0" customHeight="1">
      <c r="A260" s="60" t="str">
        <f t="shared" si="1"/>
        <v/>
      </c>
      <c r="B260" s="33"/>
      <c r="C260" s="33"/>
      <c r="D260" s="33"/>
      <c r="E260" s="61"/>
      <c r="F260" s="32"/>
      <c r="G260" s="33"/>
      <c r="H260" s="33"/>
      <c r="I260" s="61">
        <f>IF($A260="",0,SUMIFS('Daily Transactions'!$F$6:$F$500,'Daily Transactions'!$I$6:$I$500,$O260,'Daily Transactions'!$C$6:$C$500,"Expense"))</f>
        <v>0</v>
      </c>
      <c r="J260" s="61" t="str">
        <f t="shared" si="2"/>
        <v/>
      </c>
      <c r="K260" s="60" t="str">
        <f t="shared" si="3"/>
        <v/>
      </c>
      <c r="L260" s="60" t="str">
        <f t="shared" si="4"/>
        <v/>
      </c>
      <c r="M260" s="56" t="str">
        <f>IF($A260="","",IF(I260&gt;=E260,MAXIFS('Daily Transactions'!$A$6:$A$500,'Daily Transactions'!$I$6:$I$500,$O260,'Daily Transactions'!$C$6:$C$500,"Expense"),""))</f>
        <v/>
      </c>
      <c r="N260" s="33"/>
      <c r="O260" s="26" t="str">
        <f t="shared" si="5"/>
        <v/>
      </c>
      <c r="P260" s="33"/>
    </row>
    <row r="261" ht="15.0" customHeight="1">
      <c r="A261" s="29" t="str">
        <f t="shared" si="1"/>
        <v/>
      </c>
      <c r="B261" s="16"/>
      <c r="C261" s="16"/>
      <c r="D261" s="16"/>
      <c r="E261" s="17"/>
      <c r="F261" s="40"/>
      <c r="G261" s="16"/>
      <c r="H261" s="16"/>
      <c r="I261" s="17">
        <f>IF($A261="",0,SUMIFS('Daily Transactions'!$F$6:$F$500,'Daily Transactions'!$I$6:$I$500,$O261,'Daily Transactions'!$C$6:$C$500,"Expense"))</f>
        <v>0</v>
      </c>
      <c r="J261" s="17" t="str">
        <f t="shared" si="2"/>
        <v/>
      </c>
      <c r="K261" s="29" t="str">
        <f t="shared" si="3"/>
        <v/>
      </c>
      <c r="L261" s="29" t="str">
        <f t="shared" si="4"/>
        <v/>
      </c>
      <c r="M261" s="49" t="str">
        <f>IF($A261="","",IF(I261&gt;=E261,MAXIFS('Daily Transactions'!$A$6:$A$500,'Daily Transactions'!$I$6:$I$500,$O261,'Daily Transactions'!$C$6:$C$500,"Expense"),""))</f>
        <v/>
      </c>
      <c r="N261" s="16"/>
      <c r="O261" s="26" t="str">
        <f t="shared" si="5"/>
        <v/>
      </c>
      <c r="P261" s="16"/>
    </row>
    <row r="262" ht="15.0" customHeight="1">
      <c r="A262" s="60" t="str">
        <f t="shared" si="1"/>
        <v/>
      </c>
      <c r="B262" s="33"/>
      <c r="C262" s="33"/>
      <c r="D262" s="33"/>
      <c r="E262" s="61"/>
      <c r="F262" s="32"/>
      <c r="G262" s="33"/>
      <c r="H262" s="33"/>
      <c r="I262" s="61">
        <f>IF($A262="",0,SUMIFS('Daily Transactions'!$F$6:$F$500,'Daily Transactions'!$I$6:$I$500,$O262,'Daily Transactions'!$C$6:$C$500,"Expense"))</f>
        <v>0</v>
      </c>
      <c r="J262" s="61" t="str">
        <f t="shared" si="2"/>
        <v/>
      </c>
      <c r="K262" s="60" t="str">
        <f t="shared" si="3"/>
        <v/>
      </c>
      <c r="L262" s="60" t="str">
        <f t="shared" si="4"/>
        <v/>
      </c>
      <c r="M262" s="56" t="str">
        <f>IF($A262="","",IF(I262&gt;=E262,MAXIFS('Daily Transactions'!$A$6:$A$500,'Daily Transactions'!$I$6:$I$500,$O262,'Daily Transactions'!$C$6:$C$500,"Expense"),""))</f>
        <v/>
      </c>
      <c r="N262" s="33"/>
      <c r="O262" s="26" t="str">
        <f t="shared" si="5"/>
        <v/>
      </c>
      <c r="P262" s="33"/>
    </row>
    <row r="263" ht="15.0" customHeight="1">
      <c r="A263" s="29" t="str">
        <f t="shared" si="1"/>
        <v/>
      </c>
      <c r="B263" s="16"/>
      <c r="C263" s="16"/>
      <c r="D263" s="16"/>
      <c r="E263" s="17"/>
      <c r="F263" s="40"/>
      <c r="G263" s="16"/>
      <c r="H263" s="16"/>
      <c r="I263" s="17">
        <f>IF($A263="",0,SUMIFS('Daily Transactions'!$F$6:$F$500,'Daily Transactions'!$I$6:$I$500,$O263,'Daily Transactions'!$C$6:$C$500,"Expense"))</f>
        <v>0</v>
      </c>
      <c r="J263" s="17" t="str">
        <f t="shared" si="2"/>
        <v/>
      </c>
      <c r="K263" s="29" t="str">
        <f t="shared" si="3"/>
        <v/>
      </c>
      <c r="L263" s="29" t="str">
        <f t="shared" si="4"/>
        <v/>
      </c>
      <c r="M263" s="49" t="str">
        <f>IF($A263="","",IF(I263&gt;=E263,MAXIFS('Daily Transactions'!$A$6:$A$500,'Daily Transactions'!$I$6:$I$500,$O263,'Daily Transactions'!$C$6:$C$500,"Expense"),""))</f>
        <v/>
      </c>
      <c r="N263" s="16"/>
      <c r="O263" s="26" t="str">
        <f t="shared" si="5"/>
        <v/>
      </c>
      <c r="P263" s="16"/>
    </row>
    <row r="264" ht="15.0" customHeight="1">
      <c r="A264" s="60" t="str">
        <f t="shared" si="1"/>
        <v/>
      </c>
      <c r="B264" s="33"/>
      <c r="C264" s="33"/>
      <c r="D264" s="33"/>
      <c r="E264" s="61"/>
      <c r="F264" s="32"/>
      <c r="G264" s="33"/>
      <c r="H264" s="33"/>
      <c r="I264" s="61">
        <f>IF($A264="",0,SUMIFS('Daily Transactions'!$F$6:$F$500,'Daily Transactions'!$I$6:$I$500,$O264,'Daily Transactions'!$C$6:$C$500,"Expense"))</f>
        <v>0</v>
      </c>
      <c r="J264" s="61" t="str">
        <f t="shared" si="2"/>
        <v/>
      </c>
      <c r="K264" s="60" t="str">
        <f t="shared" si="3"/>
        <v/>
      </c>
      <c r="L264" s="60" t="str">
        <f t="shared" si="4"/>
        <v/>
      </c>
      <c r="M264" s="56" t="str">
        <f>IF($A264="","",IF(I264&gt;=E264,MAXIFS('Daily Transactions'!$A$6:$A$500,'Daily Transactions'!$I$6:$I$500,$O264,'Daily Transactions'!$C$6:$C$500,"Expense"),""))</f>
        <v/>
      </c>
      <c r="N264" s="33"/>
      <c r="O264" s="26" t="str">
        <f t="shared" si="5"/>
        <v/>
      </c>
      <c r="P264" s="33"/>
    </row>
    <row r="265" ht="15.0" customHeight="1">
      <c r="A265" s="29" t="str">
        <f t="shared" si="1"/>
        <v/>
      </c>
      <c r="B265" s="16"/>
      <c r="C265" s="16"/>
      <c r="D265" s="16"/>
      <c r="E265" s="17"/>
      <c r="F265" s="40"/>
      <c r="G265" s="16"/>
      <c r="H265" s="16"/>
      <c r="I265" s="17">
        <f>IF($A265="",0,SUMIFS('Daily Transactions'!$F$6:$F$500,'Daily Transactions'!$I$6:$I$500,$O265,'Daily Transactions'!$C$6:$C$500,"Expense"))</f>
        <v>0</v>
      </c>
      <c r="J265" s="17" t="str">
        <f t="shared" si="2"/>
        <v/>
      </c>
      <c r="K265" s="29" t="str">
        <f t="shared" si="3"/>
        <v/>
      </c>
      <c r="L265" s="29" t="str">
        <f t="shared" si="4"/>
        <v/>
      </c>
      <c r="M265" s="49" t="str">
        <f>IF($A265="","",IF(I265&gt;=E265,MAXIFS('Daily Transactions'!$A$6:$A$500,'Daily Transactions'!$I$6:$I$500,$O265,'Daily Transactions'!$C$6:$C$500,"Expense"),""))</f>
        <v/>
      </c>
      <c r="N265" s="16"/>
      <c r="O265" s="26" t="str">
        <f t="shared" si="5"/>
        <v/>
      </c>
      <c r="P265" s="16"/>
    </row>
    <row r="266" ht="15.0" customHeight="1">
      <c r="A266" s="60" t="str">
        <f t="shared" si="1"/>
        <v/>
      </c>
      <c r="B266" s="33"/>
      <c r="C266" s="33"/>
      <c r="D266" s="33"/>
      <c r="E266" s="61"/>
      <c r="F266" s="32"/>
      <c r="G266" s="33"/>
      <c r="H266" s="33"/>
      <c r="I266" s="61">
        <f>IF($A266="",0,SUMIFS('Daily Transactions'!$F$6:$F$500,'Daily Transactions'!$I$6:$I$500,$O266,'Daily Transactions'!$C$6:$C$500,"Expense"))</f>
        <v>0</v>
      </c>
      <c r="J266" s="61" t="str">
        <f t="shared" si="2"/>
        <v/>
      </c>
      <c r="K266" s="60" t="str">
        <f t="shared" si="3"/>
        <v/>
      </c>
      <c r="L266" s="60" t="str">
        <f t="shared" si="4"/>
        <v/>
      </c>
      <c r="M266" s="56" t="str">
        <f>IF($A266="","",IF(I266&gt;=E266,MAXIFS('Daily Transactions'!$A$6:$A$500,'Daily Transactions'!$I$6:$I$500,$O266,'Daily Transactions'!$C$6:$C$500,"Expense"),""))</f>
        <v/>
      </c>
      <c r="N266" s="33"/>
      <c r="O266" s="26" t="str">
        <f t="shared" si="5"/>
        <v/>
      </c>
      <c r="P266" s="33"/>
    </row>
    <row r="267" ht="15.0" customHeight="1">
      <c r="A267" s="29" t="str">
        <f t="shared" si="1"/>
        <v/>
      </c>
      <c r="B267" s="16"/>
      <c r="C267" s="16"/>
      <c r="D267" s="16"/>
      <c r="E267" s="17"/>
      <c r="F267" s="40"/>
      <c r="G267" s="16"/>
      <c r="H267" s="16"/>
      <c r="I267" s="17">
        <f>IF($A267="",0,SUMIFS('Daily Transactions'!$F$6:$F$500,'Daily Transactions'!$I$6:$I$500,$O267,'Daily Transactions'!$C$6:$C$500,"Expense"))</f>
        <v>0</v>
      </c>
      <c r="J267" s="17" t="str">
        <f t="shared" si="2"/>
        <v/>
      </c>
      <c r="K267" s="29" t="str">
        <f t="shared" si="3"/>
        <v/>
      </c>
      <c r="L267" s="29" t="str">
        <f t="shared" si="4"/>
        <v/>
      </c>
      <c r="M267" s="49" t="str">
        <f>IF($A267="","",IF(I267&gt;=E267,MAXIFS('Daily Transactions'!$A$6:$A$500,'Daily Transactions'!$I$6:$I$500,$O267,'Daily Transactions'!$C$6:$C$500,"Expense"),""))</f>
        <v/>
      </c>
      <c r="N267" s="16"/>
      <c r="O267" s="26" t="str">
        <f t="shared" si="5"/>
        <v/>
      </c>
      <c r="P267" s="16"/>
    </row>
    <row r="268" ht="15.0" customHeight="1">
      <c r="A268" s="60" t="str">
        <f t="shared" si="1"/>
        <v/>
      </c>
      <c r="B268" s="33"/>
      <c r="C268" s="33"/>
      <c r="D268" s="33"/>
      <c r="E268" s="61"/>
      <c r="F268" s="32"/>
      <c r="G268" s="33"/>
      <c r="H268" s="33"/>
      <c r="I268" s="61">
        <f>IF($A268="",0,SUMIFS('Daily Transactions'!$F$6:$F$500,'Daily Transactions'!$I$6:$I$500,$O268,'Daily Transactions'!$C$6:$C$500,"Expense"))</f>
        <v>0</v>
      </c>
      <c r="J268" s="61" t="str">
        <f t="shared" si="2"/>
        <v/>
      </c>
      <c r="K268" s="60" t="str">
        <f t="shared" si="3"/>
        <v/>
      </c>
      <c r="L268" s="60" t="str">
        <f t="shared" si="4"/>
        <v/>
      </c>
      <c r="M268" s="56" t="str">
        <f>IF($A268="","",IF(I268&gt;=E268,MAXIFS('Daily Transactions'!$A$6:$A$500,'Daily Transactions'!$I$6:$I$500,$O268,'Daily Transactions'!$C$6:$C$500,"Expense"),""))</f>
        <v/>
      </c>
      <c r="N268" s="33"/>
      <c r="O268" s="26" t="str">
        <f t="shared" si="5"/>
        <v/>
      </c>
      <c r="P268" s="33"/>
    </row>
    <row r="269" ht="15.0" customHeight="1">
      <c r="A269" s="29" t="str">
        <f t="shared" si="1"/>
        <v/>
      </c>
      <c r="B269" s="16"/>
      <c r="C269" s="16"/>
      <c r="D269" s="16"/>
      <c r="E269" s="17"/>
      <c r="F269" s="40"/>
      <c r="G269" s="16"/>
      <c r="H269" s="16"/>
      <c r="I269" s="17">
        <f>IF($A269="",0,SUMIFS('Daily Transactions'!$F$6:$F$500,'Daily Transactions'!$I$6:$I$500,$O269,'Daily Transactions'!$C$6:$C$500,"Expense"))</f>
        <v>0</v>
      </c>
      <c r="J269" s="17" t="str">
        <f t="shared" si="2"/>
        <v/>
      </c>
      <c r="K269" s="29" t="str">
        <f t="shared" si="3"/>
        <v/>
      </c>
      <c r="L269" s="29" t="str">
        <f t="shared" si="4"/>
        <v/>
      </c>
      <c r="M269" s="49" t="str">
        <f>IF($A269="","",IF(I269&gt;=E269,MAXIFS('Daily Transactions'!$A$6:$A$500,'Daily Transactions'!$I$6:$I$500,$O269,'Daily Transactions'!$C$6:$C$500,"Expense"),""))</f>
        <v/>
      </c>
      <c r="N269" s="16"/>
      <c r="O269" s="26" t="str">
        <f t="shared" si="5"/>
        <v/>
      </c>
      <c r="P269" s="16"/>
    </row>
    <row r="270" ht="15.0" customHeight="1">
      <c r="A270" s="60" t="str">
        <f t="shared" si="1"/>
        <v/>
      </c>
      <c r="B270" s="33"/>
      <c r="C270" s="33"/>
      <c r="D270" s="33"/>
      <c r="E270" s="61"/>
      <c r="F270" s="32"/>
      <c r="G270" s="33"/>
      <c r="H270" s="33"/>
      <c r="I270" s="61">
        <f>IF($A270="",0,SUMIFS('Daily Transactions'!$F$6:$F$500,'Daily Transactions'!$I$6:$I$500,$O270,'Daily Transactions'!$C$6:$C$500,"Expense"))</f>
        <v>0</v>
      </c>
      <c r="J270" s="61" t="str">
        <f t="shared" si="2"/>
        <v/>
      </c>
      <c r="K270" s="60" t="str">
        <f t="shared" si="3"/>
        <v/>
      </c>
      <c r="L270" s="60" t="str">
        <f t="shared" si="4"/>
        <v/>
      </c>
      <c r="M270" s="56" t="str">
        <f>IF($A270="","",IF(I270&gt;=E270,MAXIFS('Daily Transactions'!$A$6:$A$500,'Daily Transactions'!$I$6:$I$500,$O270,'Daily Transactions'!$C$6:$C$500,"Expense"),""))</f>
        <v/>
      </c>
      <c r="N270" s="33"/>
      <c r="O270" s="26" t="str">
        <f t="shared" si="5"/>
        <v/>
      </c>
      <c r="P270" s="33"/>
    </row>
    <row r="271" ht="15.0" customHeight="1">
      <c r="A271" s="29" t="str">
        <f t="shared" si="1"/>
        <v/>
      </c>
      <c r="B271" s="16"/>
      <c r="C271" s="16"/>
      <c r="D271" s="16"/>
      <c r="E271" s="17"/>
      <c r="F271" s="40"/>
      <c r="G271" s="16"/>
      <c r="H271" s="16"/>
      <c r="I271" s="17">
        <f>IF($A271="",0,SUMIFS('Daily Transactions'!$F$6:$F$500,'Daily Transactions'!$I$6:$I$500,$O271,'Daily Transactions'!$C$6:$C$500,"Expense"))</f>
        <v>0</v>
      </c>
      <c r="J271" s="17" t="str">
        <f t="shared" si="2"/>
        <v/>
      </c>
      <c r="K271" s="29" t="str">
        <f t="shared" si="3"/>
        <v/>
      </c>
      <c r="L271" s="29" t="str">
        <f t="shared" si="4"/>
        <v/>
      </c>
      <c r="M271" s="49" t="str">
        <f>IF($A271="","",IF(I271&gt;=E271,MAXIFS('Daily Transactions'!$A$6:$A$500,'Daily Transactions'!$I$6:$I$500,$O271,'Daily Transactions'!$C$6:$C$500,"Expense"),""))</f>
        <v/>
      </c>
      <c r="N271" s="16"/>
      <c r="O271" s="26" t="str">
        <f t="shared" si="5"/>
        <v/>
      </c>
      <c r="P271" s="16"/>
    </row>
    <row r="272" ht="15.0" customHeight="1">
      <c r="A272" s="60" t="str">
        <f t="shared" si="1"/>
        <v/>
      </c>
      <c r="B272" s="33"/>
      <c r="C272" s="33"/>
      <c r="D272" s="33"/>
      <c r="E272" s="61"/>
      <c r="F272" s="32"/>
      <c r="G272" s="33"/>
      <c r="H272" s="33"/>
      <c r="I272" s="61">
        <f>IF($A272="",0,SUMIFS('Daily Transactions'!$F$6:$F$500,'Daily Transactions'!$I$6:$I$500,$O272,'Daily Transactions'!$C$6:$C$500,"Expense"))</f>
        <v>0</v>
      </c>
      <c r="J272" s="61" t="str">
        <f t="shared" si="2"/>
        <v/>
      </c>
      <c r="K272" s="60" t="str">
        <f t="shared" si="3"/>
        <v/>
      </c>
      <c r="L272" s="60" t="str">
        <f t="shared" si="4"/>
        <v/>
      </c>
      <c r="M272" s="56" t="str">
        <f>IF($A272="","",IF(I272&gt;=E272,MAXIFS('Daily Transactions'!$A$6:$A$500,'Daily Transactions'!$I$6:$I$500,$O272,'Daily Transactions'!$C$6:$C$500,"Expense"),""))</f>
        <v/>
      </c>
      <c r="N272" s="33"/>
      <c r="O272" s="26" t="str">
        <f t="shared" si="5"/>
        <v/>
      </c>
      <c r="P272" s="33"/>
    </row>
    <row r="273" ht="15.0" customHeight="1">
      <c r="A273" s="29" t="str">
        <f t="shared" si="1"/>
        <v/>
      </c>
      <c r="B273" s="16"/>
      <c r="C273" s="16"/>
      <c r="D273" s="16"/>
      <c r="E273" s="17"/>
      <c r="F273" s="40"/>
      <c r="G273" s="16"/>
      <c r="H273" s="16"/>
      <c r="I273" s="17">
        <f>IF($A273="",0,SUMIFS('Daily Transactions'!$F$6:$F$500,'Daily Transactions'!$I$6:$I$500,$O273,'Daily Transactions'!$C$6:$C$500,"Expense"))</f>
        <v>0</v>
      </c>
      <c r="J273" s="17" t="str">
        <f t="shared" si="2"/>
        <v/>
      </c>
      <c r="K273" s="29" t="str">
        <f t="shared" si="3"/>
        <v/>
      </c>
      <c r="L273" s="29" t="str">
        <f t="shared" si="4"/>
        <v/>
      </c>
      <c r="M273" s="49" t="str">
        <f>IF($A273="","",IF(I273&gt;=E273,MAXIFS('Daily Transactions'!$A$6:$A$500,'Daily Transactions'!$I$6:$I$500,$O273,'Daily Transactions'!$C$6:$C$500,"Expense"),""))</f>
        <v/>
      </c>
      <c r="N273" s="16"/>
      <c r="O273" s="26" t="str">
        <f t="shared" si="5"/>
        <v/>
      </c>
      <c r="P273" s="16"/>
    </row>
    <row r="274" ht="15.0" customHeight="1">
      <c r="A274" s="60" t="str">
        <f t="shared" si="1"/>
        <v/>
      </c>
      <c r="B274" s="33"/>
      <c r="C274" s="33"/>
      <c r="D274" s="33"/>
      <c r="E274" s="61"/>
      <c r="F274" s="32"/>
      <c r="G274" s="33"/>
      <c r="H274" s="33"/>
      <c r="I274" s="61">
        <f>IF($A274="",0,SUMIFS('Daily Transactions'!$F$6:$F$500,'Daily Transactions'!$I$6:$I$500,$O274,'Daily Transactions'!$C$6:$C$500,"Expense"))</f>
        <v>0</v>
      </c>
      <c r="J274" s="61" t="str">
        <f t="shared" si="2"/>
        <v/>
      </c>
      <c r="K274" s="60" t="str">
        <f t="shared" si="3"/>
        <v/>
      </c>
      <c r="L274" s="60" t="str">
        <f t="shared" si="4"/>
        <v/>
      </c>
      <c r="M274" s="56" t="str">
        <f>IF($A274="","",IF(I274&gt;=E274,MAXIFS('Daily Transactions'!$A$6:$A$500,'Daily Transactions'!$I$6:$I$500,$O274,'Daily Transactions'!$C$6:$C$500,"Expense"),""))</f>
        <v/>
      </c>
      <c r="N274" s="33"/>
      <c r="O274" s="26" t="str">
        <f t="shared" si="5"/>
        <v/>
      </c>
      <c r="P274" s="33"/>
    </row>
    <row r="275" ht="15.0" customHeight="1">
      <c r="A275" s="29" t="str">
        <f t="shared" si="1"/>
        <v/>
      </c>
      <c r="B275" s="16"/>
      <c r="C275" s="16"/>
      <c r="D275" s="16"/>
      <c r="E275" s="17"/>
      <c r="F275" s="40"/>
      <c r="G275" s="16"/>
      <c r="H275" s="16"/>
      <c r="I275" s="17">
        <f>IF($A275="",0,SUMIFS('Daily Transactions'!$F$6:$F$500,'Daily Transactions'!$I$6:$I$500,$O275,'Daily Transactions'!$C$6:$C$500,"Expense"))</f>
        <v>0</v>
      </c>
      <c r="J275" s="17" t="str">
        <f t="shared" si="2"/>
        <v/>
      </c>
      <c r="K275" s="29" t="str">
        <f t="shared" si="3"/>
        <v/>
      </c>
      <c r="L275" s="29" t="str">
        <f t="shared" si="4"/>
        <v/>
      </c>
      <c r="M275" s="49" t="str">
        <f>IF($A275="","",IF(I275&gt;=E275,MAXIFS('Daily Transactions'!$A$6:$A$500,'Daily Transactions'!$I$6:$I$500,$O275,'Daily Transactions'!$C$6:$C$500,"Expense"),""))</f>
        <v/>
      </c>
      <c r="N275" s="16"/>
      <c r="O275" s="26" t="str">
        <f t="shared" si="5"/>
        <v/>
      </c>
      <c r="P275" s="16"/>
    </row>
    <row r="276" ht="15.0" customHeight="1">
      <c r="A276" s="60" t="str">
        <f t="shared" si="1"/>
        <v/>
      </c>
      <c r="B276" s="33"/>
      <c r="C276" s="33"/>
      <c r="D276" s="33"/>
      <c r="E276" s="61"/>
      <c r="F276" s="32"/>
      <c r="G276" s="33"/>
      <c r="H276" s="33"/>
      <c r="I276" s="61">
        <f>IF($A276="",0,SUMIFS('Daily Transactions'!$F$6:$F$500,'Daily Transactions'!$I$6:$I$500,$O276,'Daily Transactions'!$C$6:$C$500,"Expense"))</f>
        <v>0</v>
      </c>
      <c r="J276" s="61" t="str">
        <f t="shared" si="2"/>
        <v/>
      </c>
      <c r="K276" s="60" t="str">
        <f t="shared" si="3"/>
        <v/>
      </c>
      <c r="L276" s="60" t="str">
        <f t="shared" si="4"/>
        <v/>
      </c>
      <c r="M276" s="56" t="str">
        <f>IF($A276="","",IF(I276&gt;=E276,MAXIFS('Daily Transactions'!$A$6:$A$500,'Daily Transactions'!$I$6:$I$500,$O276,'Daily Transactions'!$C$6:$C$500,"Expense"),""))</f>
        <v/>
      </c>
      <c r="N276" s="33"/>
      <c r="O276" s="26" t="str">
        <f t="shared" si="5"/>
        <v/>
      </c>
      <c r="P276" s="33"/>
    </row>
    <row r="277" ht="15.0" customHeight="1">
      <c r="A277" s="29" t="str">
        <f t="shared" si="1"/>
        <v/>
      </c>
      <c r="B277" s="16"/>
      <c r="C277" s="16"/>
      <c r="D277" s="16"/>
      <c r="E277" s="17"/>
      <c r="F277" s="40"/>
      <c r="G277" s="16"/>
      <c r="H277" s="16"/>
      <c r="I277" s="17">
        <f>IF($A277="",0,SUMIFS('Daily Transactions'!$F$6:$F$500,'Daily Transactions'!$I$6:$I$500,$O277,'Daily Transactions'!$C$6:$C$500,"Expense"))</f>
        <v>0</v>
      </c>
      <c r="J277" s="17" t="str">
        <f t="shared" si="2"/>
        <v/>
      </c>
      <c r="K277" s="29" t="str">
        <f t="shared" si="3"/>
        <v/>
      </c>
      <c r="L277" s="29" t="str">
        <f t="shared" si="4"/>
        <v/>
      </c>
      <c r="M277" s="49" t="str">
        <f>IF($A277="","",IF(I277&gt;=E277,MAXIFS('Daily Transactions'!$A$6:$A$500,'Daily Transactions'!$I$6:$I$500,$O277,'Daily Transactions'!$C$6:$C$500,"Expense"),""))</f>
        <v/>
      </c>
      <c r="N277" s="16"/>
      <c r="O277" s="26" t="str">
        <f t="shared" si="5"/>
        <v/>
      </c>
      <c r="P277" s="16"/>
    </row>
    <row r="278" ht="15.0" customHeight="1">
      <c r="A278" s="60" t="str">
        <f t="shared" si="1"/>
        <v/>
      </c>
      <c r="B278" s="33"/>
      <c r="C278" s="33"/>
      <c r="D278" s="33"/>
      <c r="E278" s="61"/>
      <c r="F278" s="32"/>
      <c r="G278" s="33"/>
      <c r="H278" s="33"/>
      <c r="I278" s="61">
        <f>IF($A278="",0,SUMIFS('Daily Transactions'!$F$6:$F$500,'Daily Transactions'!$I$6:$I$500,$O278,'Daily Transactions'!$C$6:$C$500,"Expense"))</f>
        <v>0</v>
      </c>
      <c r="J278" s="61" t="str">
        <f t="shared" si="2"/>
        <v/>
      </c>
      <c r="K278" s="60" t="str">
        <f t="shared" si="3"/>
        <v/>
      </c>
      <c r="L278" s="60" t="str">
        <f t="shared" si="4"/>
        <v/>
      </c>
      <c r="M278" s="56" t="str">
        <f>IF($A278="","",IF(I278&gt;=E278,MAXIFS('Daily Transactions'!$A$6:$A$500,'Daily Transactions'!$I$6:$I$500,$O278,'Daily Transactions'!$C$6:$C$500,"Expense"),""))</f>
        <v/>
      </c>
      <c r="N278" s="33"/>
      <c r="O278" s="26" t="str">
        <f t="shared" si="5"/>
        <v/>
      </c>
      <c r="P278" s="33"/>
    </row>
    <row r="279" ht="15.0" customHeight="1">
      <c r="A279" s="29" t="str">
        <f t="shared" si="1"/>
        <v/>
      </c>
      <c r="B279" s="16"/>
      <c r="C279" s="16"/>
      <c r="D279" s="16"/>
      <c r="E279" s="17"/>
      <c r="F279" s="40"/>
      <c r="G279" s="16"/>
      <c r="H279" s="16"/>
      <c r="I279" s="17">
        <f>IF($A279="",0,SUMIFS('Daily Transactions'!$F$6:$F$500,'Daily Transactions'!$I$6:$I$500,$O279,'Daily Transactions'!$C$6:$C$500,"Expense"))</f>
        <v>0</v>
      </c>
      <c r="J279" s="17" t="str">
        <f t="shared" si="2"/>
        <v/>
      </c>
      <c r="K279" s="29" t="str">
        <f t="shared" si="3"/>
        <v/>
      </c>
      <c r="L279" s="29" t="str">
        <f t="shared" si="4"/>
        <v/>
      </c>
      <c r="M279" s="49" t="str">
        <f>IF($A279="","",IF(I279&gt;=E279,MAXIFS('Daily Transactions'!$A$6:$A$500,'Daily Transactions'!$I$6:$I$500,$O279,'Daily Transactions'!$C$6:$C$500,"Expense"),""))</f>
        <v/>
      </c>
      <c r="N279" s="16"/>
      <c r="O279" s="26" t="str">
        <f t="shared" si="5"/>
        <v/>
      </c>
      <c r="P279" s="16"/>
    </row>
    <row r="280" ht="15.0" customHeight="1">
      <c r="A280" s="60" t="str">
        <f t="shared" si="1"/>
        <v/>
      </c>
      <c r="B280" s="33"/>
      <c r="C280" s="33"/>
      <c r="D280" s="33"/>
      <c r="E280" s="61"/>
      <c r="F280" s="32"/>
      <c r="G280" s="33"/>
      <c r="H280" s="33"/>
      <c r="I280" s="61">
        <f>IF($A280="",0,SUMIFS('Daily Transactions'!$F$6:$F$500,'Daily Transactions'!$I$6:$I$500,$O280,'Daily Transactions'!$C$6:$C$500,"Expense"))</f>
        <v>0</v>
      </c>
      <c r="J280" s="61" t="str">
        <f t="shared" si="2"/>
        <v/>
      </c>
      <c r="K280" s="60" t="str">
        <f t="shared" si="3"/>
        <v/>
      </c>
      <c r="L280" s="60" t="str">
        <f t="shared" si="4"/>
        <v/>
      </c>
      <c r="M280" s="56" t="str">
        <f>IF($A280="","",IF(I280&gt;=E280,MAXIFS('Daily Transactions'!$A$6:$A$500,'Daily Transactions'!$I$6:$I$500,$O280,'Daily Transactions'!$C$6:$C$500,"Expense"),""))</f>
        <v/>
      </c>
      <c r="N280" s="33"/>
      <c r="O280" s="26" t="str">
        <f t="shared" si="5"/>
        <v/>
      </c>
      <c r="P280" s="33"/>
    </row>
    <row r="281" ht="15.0" customHeight="1">
      <c r="A281" s="29" t="str">
        <f t="shared" si="1"/>
        <v/>
      </c>
      <c r="B281" s="16"/>
      <c r="C281" s="16"/>
      <c r="D281" s="16"/>
      <c r="E281" s="17"/>
      <c r="F281" s="40"/>
      <c r="G281" s="16"/>
      <c r="H281" s="16"/>
      <c r="I281" s="17">
        <f>IF($A281="",0,SUMIFS('Daily Transactions'!$F$6:$F$500,'Daily Transactions'!$I$6:$I$500,$O281,'Daily Transactions'!$C$6:$C$500,"Expense"))</f>
        <v>0</v>
      </c>
      <c r="J281" s="17" t="str">
        <f t="shared" si="2"/>
        <v/>
      </c>
      <c r="K281" s="29" t="str">
        <f t="shared" si="3"/>
        <v/>
      </c>
      <c r="L281" s="29" t="str">
        <f t="shared" si="4"/>
        <v/>
      </c>
      <c r="M281" s="49" t="str">
        <f>IF($A281="","",IF(I281&gt;=E281,MAXIFS('Daily Transactions'!$A$6:$A$500,'Daily Transactions'!$I$6:$I$500,$O281,'Daily Transactions'!$C$6:$C$500,"Expense"),""))</f>
        <v/>
      </c>
      <c r="N281" s="16"/>
      <c r="O281" s="26" t="str">
        <f t="shared" si="5"/>
        <v/>
      </c>
      <c r="P281" s="16"/>
    </row>
    <row r="282" ht="15.0" customHeight="1">
      <c r="A282" s="60" t="str">
        <f t="shared" si="1"/>
        <v/>
      </c>
      <c r="B282" s="33"/>
      <c r="C282" s="33"/>
      <c r="D282" s="33"/>
      <c r="E282" s="61"/>
      <c r="F282" s="32"/>
      <c r="G282" s="33"/>
      <c r="H282" s="33"/>
      <c r="I282" s="61">
        <f>IF($A282="",0,SUMIFS('Daily Transactions'!$F$6:$F$500,'Daily Transactions'!$I$6:$I$500,$O282,'Daily Transactions'!$C$6:$C$500,"Expense"))</f>
        <v>0</v>
      </c>
      <c r="J282" s="61" t="str">
        <f t="shared" si="2"/>
        <v/>
      </c>
      <c r="K282" s="60" t="str">
        <f t="shared" si="3"/>
        <v/>
      </c>
      <c r="L282" s="60" t="str">
        <f t="shared" si="4"/>
        <v/>
      </c>
      <c r="M282" s="56" t="str">
        <f>IF($A282="","",IF(I282&gt;=E282,MAXIFS('Daily Transactions'!$A$6:$A$500,'Daily Transactions'!$I$6:$I$500,$O282,'Daily Transactions'!$C$6:$C$500,"Expense"),""))</f>
        <v/>
      </c>
      <c r="N282" s="33"/>
      <c r="O282" s="26" t="str">
        <f t="shared" si="5"/>
        <v/>
      </c>
      <c r="P282" s="33"/>
    </row>
    <row r="283" ht="15.0" customHeight="1">
      <c r="A283" s="29" t="str">
        <f t="shared" si="1"/>
        <v/>
      </c>
      <c r="B283" s="16"/>
      <c r="C283" s="16"/>
      <c r="D283" s="16"/>
      <c r="E283" s="17"/>
      <c r="F283" s="40"/>
      <c r="G283" s="16"/>
      <c r="H283" s="16"/>
      <c r="I283" s="17">
        <f>IF($A283="",0,SUMIFS('Daily Transactions'!$F$6:$F$500,'Daily Transactions'!$I$6:$I$500,$O283,'Daily Transactions'!$C$6:$C$500,"Expense"))</f>
        <v>0</v>
      </c>
      <c r="J283" s="17" t="str">
        <f t="shared" si="2"/>
        <v/>
      </c>
      <c r="K283" s="29" t="str">
        <f t="shared" si="3"/>
        <v/>
      </c>
      <c r="L283" s="29" t="str">
        <f t="shared" si="4"/>
        <v/>
      </c>
      <c r="M283" s="49" t="str">
        <f>IF($A283="","",IF(I283&gt;=E283,MAXIFS('Daily Transactions'!$A$6:$A$500,'Daily Transactions'!$I$6:$I$500,$O283,'Daily Transactions'!$C$6:$C$500,"Expense"),""))</f>
        <v/>
      </c>
      <c r="N283" s="16"/>
      <c r="O283" s="26" t="str">
        <f t="shared" si="5"/>
        <v/>
      </c>
      <c r="P283" s="16"/>
    </row>
    <row r="284" ht="15.0" customHeight="1">
      <c r="A284" s="60" t="str">
        <f t="shared" si="1"/>
        <v/>
      </c>
      <c r="B284" s="33"/>
      <c r="C284" s="33"/>
      <c r="D284" s="33"/>
      <c r="E284" s="61"/>
      <c r="F284" s="32"/>
      <c r="G284" s="33"/>
      <c r="H284" s="33"/>
      <c r="I284" s="61">
        <f>IF($A284="",0,SUMIFS('Daily Transactions'!$F$6:$F$500,'Daily Transactions'!$I$6:$I$500,$O284,'Daily Transactions'!$C$6:$C$500,"Expense"))</f>
        <v>0</v>
      </c>
      <c r="J284" s="61" t="str">
        <f t="shared" si="2"/>
        <v/>
      </c>
      <c r="K284" s="60" t="str">
        <f t="shared" si="3"/>
        <v/>
      </c>
      <c r="L284" s="60" t="str">
        <f t="shared" si="4"/>
        <v/>
      </c>
      <c r="M284" s="56" t="str">
        <f>IF($A284="","",IF(I284&gt;=E284,MAXIFS('Daily Transactions'!$A$6:$A$500,'Daily Transactions'!$I$6:$I$500,$O284,'Daily Transactions'!$C$6:$C$500,"Expense"),""))</f>
        <v/>
      </c>
      <c r="N284" s="33"/>
      <c r="O284" s="26" t="str">
        <f t="shared" si="5"/>
        <v/>
      </c>
      <c r="P284" s="33"/>
    </row>
    <row r="285" ht="15.0" customHeight="1">
      <c r="A285" s="29" t="str">
        <f t="shared" si="1"/>
        <v/>
      </c>
      <c r="B285" s="16"/>
      <c r="C285" s="16"/>
      <c r="D285" s="16"/>
      <c r="E285" s="17"/>
      <c r="F285" s="40"/>
      <c r="G285" s="16"/>
      <c r="H285" s="16"/>
      <c r="I285" s="17">
        <f>IF($A285="",0,SUMIFS('Daily Transactions'!$F$6:$F$500,'Daily Transactions'!$I$6:$I$500,$O285,'Daily Transactions'!$C$6:$C$500,"Expense"))</f>
        <v>0</v>
      </c>
      <c r="J285" s="17" t="str">
        <f t="shared" si="2"/>
        <v/>
      </c>
      <c r="K285" s="29" t="str">
        <f t="shared" si="3"/>
        <v/>
      </c>
      <c r="L285" s="29" t="str">
        <f t="shared" si="4"/>
        <v/>
      </c>
      <c r="M285" s="49" t="str">
        <f>IF($A285="","",IF(I285&gt;=E285,MAXIFS('Daily Transactions'!$A$6:$A$500,'Daily Transactions'!$I$6:$I$500,$O285,'Daily Transactions'!$C$6:$C$500,"Expense"),""))</f>
        <v/>
      </c>
      <c r="N285" s="16"/>
      <c r="O285" s="26" t="str">
        <f t="shared" si="5"/>
        <v/>
      </c>
      <c r="P285" s="16"/>
    </row>
    <row r="286" ht="15.0" customHeight="1">
      <c r="A286" s="60" t="str">
        <f t="shared" si="1"/>
        <v/>
      </c>
      <c r="B286" s="33"/>
      <c r="C286" s="33"/>
      <c r="D286" s="33"/>
      <c r="E286" s="61"/>
      <c r="F286" s="32"/>
      <c r="G286" s="33"/>
      <c r="H286" s="33"/>
      <c r="I286" s="61">
        <f>IF($A286="",0,SUMIFS('Daily Transactions'!$F$6:$F$500,'Daily Transactions'!$I$6:$I$500,$O286,'Daily Transactions'!$C$6:$C$500,"Expense"))</f>
        <v>0</v>
      </c>
      <c r="J286" s="61" t="str">
        <f t="shared" si="2"/>
        <v/>
      </c>
      <c r="K286" s="60" t="str">
        <f t="shared" si="3"/>
        <v/>
      </c>
      <c r="L286" s="60" t="str">
        <f t="shared" si="4"/>
        <v/>
      </c>
      <c r="M286" s="56" t="str">
        <f>IF($A286="","",IF(I286&gt;=E286,MAXIFS('Daily Transactions'!$A$6:$A$500,'Daily Transactions'!$I$6:$I$500,$O286,'Daily Transactions'!$C$6:$C$500,"Expense"),""))</f>
        <v/>
      </c>
      <c r="N286" s="33"/>
      <c r="O286" s="26" t="str">
        <f t="shared" si="5"/>
        <v/>
      </c>
      <c r="P286" s="33"/>
    </row>
    <row r="287" ht="15.0" customHeight="1">
      <c r="A287" s="29" t="str">
        <f t="shared" si="1"/>
        <v/>
      </c>
      <c r="B287" s="16"/>
      <c r="C287" s="16"/>
      <c r="D287" s="16"/>
      <c r="E287" s="17"/>
      <c r="F287" s="40"/>
      <c r="G287" s="16"/>
      <c r="H287" s="16"/>
      <c r="I287" s="17">
        <f>IF($A287="",0,SUMIFS('Daily Transactions'!$F$6:$F$500,'Daily Transactions'!$I$6:$I$500,$O287,'Daily Transactions'!$C$6:$C$500,"Expense"))</f>
        <v>0</v>
      </c>
      <c r="J287" s="17" t="str">
        <f t="shared" si="2"/>
        <v/>
      </c>
      <c r="K287" s="29" t="str">
        <f t="shared" si="3"/>
        <v/>
      </c>
      <c r="L287" s="29" t="str">
        <f t="shared" si="4"/>
        <v/>
      </c>
      <c r="M287" s="49" t="str">
        <f>IF($A287="","",IF(I287&gt;=E287,MAXIFS('Daily Transactions'!$A$6:$A$500,'Daily Transactions'!$I$6:$I$500,$O287,'Daily Transactions'!$C$6:$C$500,"Expense"),""))</f>
        <v/>
      </c>
      <c r="N287" s="16"/>
      <c r="O287" s="26" t="str">
        <f t="shared" si="5"/>
        <v/>
      </c>
      <c r="P287" s="16"/>
    </row>
    <row r="288" ht="15.0" customHeight="1">
      <c r="A288" s="60" t="str">
        <f t="shared" si="1"/>
        <v/>
      </c>
      <c r="B288" s="33"/>
      <c r="C288" s="33"/>
      <c r="D288" s="33"/>
      <c r="E288" s="61"/>
      <c r="F288" s="32"/>
      <c r="G288" s="33"/>
      <c r="H288" s="33"/>
      <c r="I288" s="61">
        <f>IF($A288="",0,SUMIFS('Daily Transactions'!$F$6:$F$500,'Daily Transactions'!$I$6:$I$500,$O288,'Daily Transactions'!$C$6:$C$500,"Expense"))</f>
        <v>0</v>
      </c>
      <c r="J288" s="61" t="str">
        <f t="shared" si="2"/>
        <v/>
      </c>
      <c r="K288" s="60" t="str">
        <f t="shared" si="3"/>
        <v/>
      </c>
      <c r="L288" s="60" t="str">
        <f t="shared" si="4"/>
        <v/>
      </c>
      <c r="M288" s="56" t="str">
        <f>IF($A288="","",IF(I288&gt;=E288,MAXIFS('Daily Transactions'!$A$6:$A$500,'Daily Transactions'!$I$6:$I$500,$O288,'Daily Transactions'!$C$6:$C$500,"Expense"),""))</f>
        <v/>
      </c>
      <c r="N288" s="33"/>
      <c r="O288" s="26" t="str">
        <f t="shared" si="5"/>
        <v/>
      </c>
      <c r="P288" s="33"/>
    </row>
    <row r="289" ht="15.0" customHeight="1">
      <c r="A289" s="29" t="str">
        <f t="shared" si="1"/>
        <v/>
      </c>
      <c r="B289" s="16"/>
      <c r="C289" s="16"/>
      <c r="D289" s="16"/>
      <c r="E289" s="17"/>
      <c r="F289" s="40"/>
      <c r="G289" s="16"/>
      <c r="H289" s="16"/>
      <c r="I289" s="17">
        <f>IF($A289="",0,SUMIFS('Daily Transactions'!$F$6:$F$500,'Daily Transactions'!$I$6:$I$500,$O289,'Daily Transactions'!$C$6:$C$500,"Expense"))</f>
        <v>0</v>
      </c>
      <c r="J289" s="17" t="str">
        <f t="shared" si="2"/>
        <v/>
      </c>
      <c r="K289" s="29" t="str">
        <f t="shared" si="3"/>
        <v/>
      </c>
      <c r="L289" s="29" t="str">
        <f t="shared" si="4"/>
        <v/>
      </c>
      <c r="M289" s="49" t="str">
        <f>IF($A289="","",IF(I289&gt;=E289,MAXIFS('Daily Transactions'!$A$6:$A$500,'Daily Transactions'!$I$6:$I$500,$O289,'Daily Transactions'!$C$6:$C$500,"Expense"),""))</f>
        <v/>
      </c>
      <c r="N289" s="16"/>
      <c r="O289" s="26" t="str">
        <f t="shared" si="5"/>
        <v/>
      </c>
      <c r="P289" s="16"/>
    </row>
    <row r="290" ht="15.0" customHeight="1">
      <c r="A290" s="60" t="str">
        <f t="shared" si="1"/>
        <v/>
      </c>
      <c r="B290" s="33"/>
      <c r="C290" s="33"/>
      <c r="D290" s="33"/>
      <c r="E290" s="61"/>
      <c r="F290" s="32"/>
      <c r="G290" s="33"/>
      <c r="H290" s="33"/>
      <c r="I290" s="61">
        <f>IF($A290="",0,SUMIFS('Daily Transactions'!$F$6:$F$500,'Daily Transactions'!$I$6:$I$500,$O290,'Daily Transactions'!$C$6:$C$500,"Expense"))</f>
        <v>0</v>
      </c>
      <c r="J290" s="61" t="str">
        <f t="shared" si="2"/>
        <v/>
      </c>
      <c r="K290" s="60" t="str">
        <f t="shared" si="3"/>
        <v/>
      </c>
      <c r="L290" s="60" t="str">
        <f t="shared" si="4"/>
        <v/>
      </c>
      <c r="M290" s="56" t="str">
        <f>IF($A290="","",IF(I290&gt;=E290,MAXIFS('Daily Transactions'!$A$6:$A$500,'Daily Transactions'!$I$6:$I$500,$O290,'Daily Transactions'!$C$6:$C$500,"Expense"),""))</f>
        <v/>
      </c>
      <c r="N290" s="33"/>
      <c r="O290" s="26" t="str">
        <f t="shared" si="5"/>
        <v/>
      </c>
      <c r="P290" s="33"/>
    </row>
    <row r="291" ht="15.0" customHeight="1">
      <c r="A291" s="29" t="str">
        <f t="shared" si="1"/>
        <v/>
      </c>
      <c r="B291" s="16"/>
      <c r="C291" s="16"/>
      <c r="D291" s="16"/>
      <c r="E291" s="17"/>
      <c r="F291" s="40"/>
      <c r="G291" s="16"/>
      <c r="H291" s="16"/>
      <c r="I291" s="17">
        <f>IF($A291="",0,SUMIFS('Daily Transactions'!$F$6:$F$500,'Daily Transactions'!$I$6:$I$500,$O291,'Daily Transactions'!$C$6:$C$500,"Expense"))</f>
        <v>0</v>
      </c>
      <c r="J291" s="17" t="str">
        <f t="shared" si="2"/>
        <v/>
      </c>
      <c r="K291" s="29" t="str">
        <f t="shared" si="3"/>
        <v/>
      </c>
      <c r="L291" s="29" t="str">
        <f t="shared" si="4"/>
        <v/>
      </c>
      <c r="M291" s="49" t="str">
        <f>IF($A291="","",IF(I291&gt;=E291,MAXIFS('Daily Transactions'!$A$6:$A$500,'Daily Transactions'!$I$6:$I$500,$O291,'Daily Transactions'!$C$6:$C$500,"Expense"),""))</f>
        <v/>
      </c>
      <c r="N291" s="16"/>
      <c r="O291" s="26" t="str">
        <f t="shared" si="5"/>
        <v/>
      </c>
      <c r="P291" s="16"/>
    </row>
    <row r="292" ht="15.0" customHeight="1">
      <c r="A292" s="60" t="str">
        <f t="shared" si="1"/>
        <v/>
      </c>
      <c r="B292" s="33"/>
      <c r="C292" s="33"/>
      <c r="D292" s="33"/>
      <c r="E292" s="61"/>
      <c r="F292" s="32"/>
      <c r="G292" s="33"/>
      <c r="H292" s="33"/>
      <c r="I292" s="61">
        <f>IF($A292="",0,SUMIFS('Daily Transactions'!$F$6:$F$500,'Daily Transactions'!$I$6:$I$500,$O292,'Daily Transactions'!$C$6:$C$500,"Expense"))</f>
        <v>0</v>
      </c>
      <c r="J292" s="61" t="str">
        <f t="shared" si="2"/>
        <v/>
      </c>
      <c r="K292" s="60" t="str">
        <f t="shared" si="3"/>
        <v/>
      </c>
      <c r="L292" s="60" t="str">
        <f t="shared" si="4"/>
        <v/>
      </c>
      <c r="M292" s="56" t="str">
        <f>IF($A292="","",IF(I292&gt;=E292,MAXIFS('Daily Transactions'!$A$6:$A$500,'Daily Transactions'!$I$6:$I$500,$O292,'Daily Transactions'!$C$6:$C$500,"Expense"),""))</f>
        <v/>
      </c>
      <c r="N292" s="33"/>
      <c r="O292" s="26" t="str">
        <f t="shared" si="5"/>
        <v/>
      </c>
      <c r="P292" s="33"/>
    </row>
    <row r="293" ht="15.0" customHeight="1">
      <c r="A293" s="29" t="str">
        <f t="shared" si="1"/>
        <v/>
      </c>
      <c r="B293" s="16"/>
      <c r="C293" s="16"/>
      <c r="D293" s="16"/>
      <c r="E293" s="17"/>
      <c r="F293" s="40"/>
      <c r="G293" s="16"/>
      <c r="H293" s="16"/>
      <c r="I293" s="17">
        <f>IF($A293="",0,SUMIFS('Daily Transactions'!$F$6:$F$500,'Daily Transactions'!$I$6:$I$500,$O293,'Daily Transactions'!$C$6:$C$500,"Expense"))</f>
        <v>0</v>
      </c>
      <c r="J293" s="17" t="str">
        <f t="shared" si="2"/>
        <v/>
      </c>
      <c r="K293" s="29" t="str">
        <f t="shared" si="3"/>
        <v/>
      </c>
      <c r="L293" s="29" t="str">
        <f t="shared" si="4"/>
        <v/>
      </c>
      <c r="M293" s="49" t="str">
        <f>IF($A293="","",IF(I293&gt;=E293,MAXIFS('Daily Transactions'!$A$6:$A$500,'Daily Transactions'!$I$6:$I$500,$O293,'Daily Transactions'!$C$6:$C$500,"Expense"),""))</f>
        <v/>
      </c>
      <c r="N293" s="16"/>
      <c r="O293" s="26" t="str">
        <f t="shared" si="5"/>
        <v/>
      </c>
      <c r="P293" s="16"/>
    </row>
    <row r="294" ht="15.0" customHeight="1">
      <c r="A294" s="60" t="str">
        <f t="shared" si="1"/>
        <v/>
      </c>
      <c r="B294" s="33"/>
      <c r="C294" s="33"/>
      <c r="D294" s="33"/>
      <c r="E294" s="61"/>
      <c r="F294" s="32"/>
      <c r="G294" s="33"/>
      <c r="H294" s="33"/>
      <c r="I294" s="61">
        <f>IF($A294="",0,SUMIFS('Daily Transactions'!$F$6:$F$500,'Daily Transactions'!$I$6:$I$500,$O294,'Daily Transactions'!$C$6:$C$500,"Expense"))</f>
        <v>0</v>
      </c>
      <c r="J294" s="61" t="str">
        <f t="shared" si="2"/>
        <v/>
      </c>
      <c r="K294" s="60" t="str">
        <f t="shared" si="3"/>
        <v/>
      </c>
      <c r="L294" s="60" t="str">
        <f t="shared" si="4"/>
        <v/>
      </c>
      <c r="M294" s="56" t="str">
        <f>IF($A294="","",IF(I294&gt;=E294,MAXIFS('Daily Transactions'!$A$6:$A$500,'Daily Transactions'!$I$6:$I$500,$O294,'Daily Transactions'!$C$6:$C$500,"Expense"),""))</f>
        <v/>
      </c>
      <c r="N294" s="33"/>
      <c r="O294" s="26" t="str">
        <f t="shared" si="5"/>
        <v/>
      </c>
      <c r="P294" s="33"/>
    </row>
    <row r="295" ht="15.0" customHeight="1">
      <c r="A295" s="29" t="str">
        <f t="shared" si="1"/>
        <v/>
      </c>
      <c r="B295" s="16"/>
      <c r="C295" s="16"/>
      <c r="D295" s="16"/>
      <c r="E295" s="17"/>
      <c r="F295" s="40"/>
      <c r="G295" s="16"/>
      <c r="H295" s="16"/>
      <c r="I295" s="17">
        <f>IF($A295="",0,SUMIFS('Daily Transactions'!$F$6:$F$500,'Daily Transactions'!$I$6:$I$500,$O295,'Daily Transactions'!$C$6:$C$500,"Expense"))</f>
        <v>0</v>
      </c>
      <c r="J295" s="17" t="str">
        <f t="shared" si="2"/>
        <v/>
      </c>
      <c r="K295" s="29" t="str">
        <f t="shared" si="3"/>
        <v/>
      </c>
      <c r="L295" s="29" t="str">
        <f t="shared" si="4"/>
        <v/>
      </c>
      <c r="M295" s="49" t="str">
        <f>IF($A295="","",IF(I295&gt;=E295,MAXIFS('Daily Transactions'!$A$6:$A$500,'Daily Transactions'!$I$6:$I$500,$O295,'Daily Transactions'!$C$6:$C$500,"Expense"),""))</f>
        <v/>
      </c>
      <c r="N295" s="16"/>
      <c r="O295" s="26" t="str">
        <f t="shared" si="5"/>
        <v/>
      </c>
      <c r="P295" s="16"/>
    </row>
    <row r="296" ht="15.0" customHeight="1">
      <c r="A296" s="60" t="str">
        <f t="shared" si="1"/>
        <v/>
      </c>
      <c r="B296" s="33"/>
      <c r="C296" s="33"/>
      <c r="D296" s="33"/>
      <c r="E296" s="61"/>
      <c r="F296" s="32"/>
      <c r="G296" s="33"/>
      <c r="H296" s="33"/>
      <c r="I296" s="61">
        <f>IF($A296="",0,SUMIFS('Daily Transactions'!$F$6:$F$500,'Daily Transactions'!$I$6:$I$500,$O296,'Daily Transactions'!$C$6:$C$500,"Expense"))</f>
        <v>0</v>
      </c>
      <c r="J296" s="61" t="str">
        <f t="shared" si="2"/>
        <v/>
      </c>
      <c r="K296" s="60" t="str">
        <f t="shared" si="3"/>
        <v/>
      </c>
      <c r="L296" s="60" t="str">
        <f t="shared" si="4"/>
        <v/>
      </c>
      <c r="M296" s="56" t="str">
        <f>IF($A296="","",IF(I296&gt;=E296,MAXIFS('Daily Transactions'!$A$6:$A$500,'Daily Transactions'!$I$6:$I$500,$O296,'Daily Transactions'!$C$6:$C$500,"Expense"),""))</f>
        <v/>
      </c>
      <c r="N296" s="33"/>
      <c r="O296" s="26" t="str">
        <f t="shared" si="5"/>
        <v/>
      </c>
      <c r="P296" s="33"/>
    </row>
    <row r="297" ht="15.0" customHeight="1">
      <c r="A297" s="29" t="str">
        <f t="shared" si="1"/>
        <v/>
      </c>
      <c r="B297" s="16"/>
      <c r="C297" s="16"/>
      <c r="D297" s="16"/>
      <c r="E297" s="17"/>
      <c r="F297" s="40"/>
      <c r="G297" s="16"/>
      <c r="H297" s="16"/>
      <c r="I297" s="17">
        <f>IF($A297="",0,SUMIFS('Daily Transactions'!$F$6:$F$500,'Daily Transactions'!$I$6:$I$500,$O297,'Daily Transactions'!$C$6:$C$500,"Expense"))</f>
        <v>0</v>
      </c>
      <c r="J297" s="17" t="str">
        <f t="shared" si="2"/>
        <v/>
      </c>
      <c r="K297" s="29" t="str">
        <f t="shared" si="3"/>
        <v/>
      </c>
      <c r="L297" s="29" t="str">
        <f t="shared" si="4"/>
        <v/>
      </c>
      <c r="M297" s="49" t="str">
        <f>IF($A297="","",IF(I297&gt;=E297,MAXIFS('Daily Transactions'!$A$6:$A$500,'Daily Transactions'!$I$6:$I$500,$O297,'Daily Transactions'!$C$6:$C$500,"Expense"),""))</f>
        <v/>
      </c>
      <c r="N297" s="16"/>
      <c r="O297" s="26" t="str">
        <f t="shared" si="5"/>
        <v/>
      </c>
      <c r="P297" s="16"/>
    </row>
    <row r="298" ht="15.0" customHeight="1">
      <c r="A298" s="60" t="str">
        <f t="shared" si="1"/>
        <v/>
      </c>
      <c r="B298" s="33"/>
      <c r="C298" s="33"/>
      <c r="D298" s="33"/>
      <c r="E298" s="61"/>
      <c r="F298" s="32"/>
      <c r="G298" s="33"/>
      <c r="H298" s="33"/>
      <c r="I298" s="61">
        <f>IF($A298="",0,SUMIFS('Daily Transactions'!$F$6:$F$500,'Daily Transactions'!$I$6:$I$500,$O298,'Daily Transactions'!$C$6:$C$500,"Expense"))</f>
        <v>0</v>
      </c>
      <c r="J298" s="61" t="str">
        <f t="shared" si="2"/>
        <v/>
      </c>
      <c r="K298" s="60" t="str">
        <f t="shared" si="3"/>
        <v/>
      </c>
      <c r="L298" s="60" t="str">
        <f t="shared" si="4"/>
        <v/>
      </c>
      <c r="M298" s="56" t="str">
        <f>IF($A298="","",IF(I298&gt;=E298,MAXIFS('Daily Transactions'!$A$6:$A$500,'Daily Transactions'!$I$6:$I$500,$O298,'Daily Transactions'!$C$6:$C$500,"Expense"),""))</f>
        <v/>
      </c>
      <c r="N298" s="33"/>
      <c r="O298" s="26" t="str">
        <f t="shared" si="5"/>
        <v/>
      </c>
      <c r="P298" s="33"/>
    </row>
    <row r="299" ht="15.0" customHeight="1">
      <c r="A299" s="29" t="str">
        <f t="shared" si="1"/>
        <v/>
      </c>
      <c r="B299" s="16"/>
      <c r="C299" s="16"/>
      <c r="D299" s="16"/>
      <c r="E299" s="17"/>
      <c r="F299" s="40"/>
      <c r="G299" s="16"/>
      <c r="H299" s="16"/>
      <c r="I299" s="17">
        <f>IF($A299="",0,SUMIFS('Daily Transactions'!$F$6:$F$500,'Daily Transactions'!$I$6:$I$500,$O299,'Daily Transactions'!$C$6:$C$500,"Expense"))</f>
        <v>0</v>
      </c>
      <c r="J299" s="17" t="str">
        <f t="shared" si="2"/>
        <v/>
      </c>
      <c r="K299" s="29" t="str">
        <f t="shared" si="3"/>
        <v/>
      </c>
      <c r="L299" s="29" t="str">
        <f t="shared" si="4"/>
        <v/>
      </c>
      <c r="M299" s="49" t="str">
        <f>IF($A299="","",IF(I299&gt;=E299,MAXIFS('Daily Transactions'!$A$6:$A$500,'Daily Transactions'!$I$6:$I$500,$O299,'Daily Transactions'!$C$6:$C$500,"Expense"),""))</f>
        <v/>
      </c>
      <c r="N299" s="16"/>
      <c r="O299" s="26" t="str">
        <f t="shared" si="5"/>
        <v/>
      </c>
      <c r="P299" s="16"/>
    </row>
    <row r="300" ht="15.0" customHeight="1">
      <c r="A300" s="60" t="str">
        <f t="shared" si="1"/>
        <v/>
      </c>
      <c r="B300" s="33"/>
      <c r="C300" s="33"/>
      <c r="D300" s="33"/>
      <c r="E300" s="61"/>
      <c r="F300" s="32"/>
      <c r="G300" s="33"/>
      <c r="H300" s="33"/>
      <c r="I300" s="61">
        <f>IF($A300="",0,SUMIFS('Daily Transactions'!$F$6:$F$500,'Daily Transactions'!$I$6:$I$500,$O300,'Daily Transactions'!$C$6:$C$500,"Expense"))</f>
        <v>0</v>
      </c>
      <c r="J300" s="61" t="str">
        <f t="shared" si="2"/>
        <v/>
      </c>
      <c r="K300" s="60" t="str">
        <f t="shared" si="3"/>
        <v/>
      </c>
      <c r="L300" s="60" t="str">
        <f t="shared" si="4"/>
        <v/>
      </c>
      <c r="M300" s="56" t="str">
        <f>IF($A300="","",IF(I300&gt;=E300,MAXIFS('Daily Transactions'!$A$6:$A$500,'Daily Transactions'!$I$6:$I$500,$O300,'Daily Transactions'!$C$6:$C$500,"Expense"),""))</f>
        <v/>
      </c>
      <c r="N300" s="33"/>
      <c r="O300" s="26" t="str">
        <f t="shared" si="5"/>
        <v/>
      </c>
      <c r="P300" s="33"/>
    </row>
    <row r="301" ht="15.0" customHeight="1">
      <c r="A301" s="29" t="str">
        <f t="shared" si="1"/>
        <v/>
      </c>
      <c r="B301" s="16"/>
      <c r="C301" s="16"/>
      <c r="D301" s="16"/>
      <c r="E301" s="17"/>
      <c r="F301" s="40"/>
      <c r="G301" s="16"/>
      <c r="H301" s="16"/>
      <c r="I301" s="17">
        <f>IF($A301="",0,SUMIFS('Daily Transactions'!$F$6:$F$500,'Daily Transactions'!$I$6:$I$500,$O301,'Daily Transactions'!$C$6:$C$500,"Expense"))</f>
        <v>0</v>
      </c>
      <c r="J301" s="17" t="str">
        <f t="shared" si="2"/>
        <v/>
      </c>
      <c r="K301" s="29" t="str">
        <f t="shared" si="3"/>
        <v/>
      </c>
      <c r="L301" s="29" t="str">
        <f t="shared" si="4"/>
        <v/>
      </c>
      <c r="M301" s="49" t="str">
        <f>IF($A301="","",IF(I301&gt;=E301,MAXIFS('Daily Transactions'!$A$6:$A$500,'Daily Transactions'!$I$6:$I$500,$O301,'Daily Transactions'!$C$6:$C$500,"Expense"),""))</f>
        <v/>
      </c>
      <c r="N301" s="16"/>
      <c r="O301" s="26" t="str">
        <f t="shared" si="5"/>
        <v/>
      </c>
      <c r="P301" s="16"/>
    </row>
    <row r="302" ht="15.0" customHeight="1">
      <c r="A302" s="60" t="str">
        <f t="shared" si="1"/>
        <v/>
      </c>
      <c r="B302" s="33"/>
      <c r="C302" s="33"/>
      <c r="D302" s="33"/>
      <c r="E302" s="61"/>
      <c r="F302" s="32"/>
      <c r="G302" s="33"/>
      <c r="H302" s="33"/>
      <c r="I302" s="61">
        <f>IF($A302="",0,SUMIFS('Daily Transactions'!$F$6:$F$500,'Daily Transactions'!$I$6:$I$500,$O302,'Daily Transactions'!$C$6:$C$500,"Expense"))</f>
        <v>0</v>
      </c>
      <c r="J302" s="61" t="str">
        <f t="shared" si="2"/>
        <v/>
      </c>
      <c r="K302" s="60" t="str">
        <f t="shared" si="3"/>
        <v/>
      </c>
      <c r="L302" s="60" t="str">
        <f t="shared" si="4"/>
        <v/>
      </c>
      <c r="M302" s="56" t="str">
        <f>IF($A302="","",IF(I302&gt;=E302,MAXIFS('Daily Transactions'!$A$6:$A$500,'Daily Transactions'!$I$6:$I$500,$O302,'Daily Transactions'!$C$6:$C$500,"Expense"),""))</f>
        <v/>
      </c>
      <c r="N302" s="33"/>
      <c r="O302" s="26" t="str">
        <f t="shared" si="5"/>
        <v/>
      </c>
      <c r="P302" s="33"/>
    </row>
    <row r="303" ht="15.0" customHeight="1">
      <c r="A303" s="29" t="str">
        <f t="shared" si="1"/>
        <v/>
      </c>
      <c r="B303" s="16"/>
      <c r="C303" s="16"/>
      <c r="D303" s="16"/>
      <c r="E303" s="17"/>
      <c r="F303" s="40"/>
      <c r="G303" s="16"/>
      <c r="H303" s="16"/>
      <c r="I303" s="17">
        <f>IF($A303="",0,SUMIFS('Daily Transactions'!$F$6:$F$500,'Daily Transactions'!$I$6:$I$500,$O303,'Daily Transactions'!$C$6:$C$500,"Expense"))</f>
        <v>0</v>
      </c>
      <c r="J303" s="17" t="str">
        <f t="shared" si="2"/>
        <v/>
      </c>
      <c r="K303" s="29" t="str">
        <f t="shared" si="3"/>
        <v/>
      </c>
      <c r="L303" s="29" t="str">
        <f t="shared" si="4"/>
        <v/>
      </c>
      <c r="M303" s="49" t="str">
        <f>IF($A303="","",IF(I303&gt;=E303,MAXIFS('Daily Transactions'!$A$6:$A$500,'Daily Transactions'!$I$6:$I$500,$O303,'Daily Transactions'!$C$6:$C$500,"Expense"),""))</f>
        <v/>
      </c>
      <c r="N303" s="16"/>
      <c r="O303" s="26" t="str">
        <f t="shared" si="5"/>
        <v/>
      </c>
      <c r="P303" s="16"/>
    </row>
    <row r="304" ht="15.0" customHeight="1">
      <c r="A304" s="60" t="str">
        <f t="shared" si="1"/>
        <v/>
      </c>
      <c r="B304" s="33"/>
      <c r="C304" s="33"/>
      <c r="D304" s="33"/>
      <c r="E304" s="61"/>
      <c r="F304" s="32"/>
      <c r="G304" s="33"/>
      <c r="H304" s="33"/>
      <c r="I304" s="61">
        <f>IF($A304="",0,SUMIFS('Daily Transactions'!$F$6:$F$500,'Daily Transactions'!$I$6:$I$500,$O304,'Daily Transactions'!$C$6:$C$500,"Expense"))</f>
        <v>0</v>
      </c>
      <c r="J304" s="61" t="str">
        <f t="shared" si="2"/>
        <v/>
      </c>
      <c r="K304" s="60" t="str">
        <f t="shared" si="3"/>
        <v/>
      </c>
      <c r="L304" s="60" t="str">
        <f t="shared" si="4"/>
        <v/>
      </c>
      <c r="M304" s="56" t="str">
        <f>IF($A304="","",IF(I304&gt;=E304,MAXIFS('Daily Transactions'!$A$6:$A$500,'Daily Transactions'!$I$6:$I$500,$O304,'Daily Transactions'!$C$6:$C$500,"Expense"),""))</f>
        <v/>
      </c>
      <c r="N304" s="33"/>
      <c r="O304" s="26" t="str">
        <f t="shared" si="5"/>
        <v/>
      </c>
      <c r="P304" s="33"/>
    </row>
    <row r="305" ht="15.0" customHeight="1">
      <c r="A305" s="29" t="str">
        <f t="shared" si="1"/>
        <v/>
      </c>
      <c r="B305" s="16"/>
      <c r="C305" s="16"/>
      <c r="D305" s="16"/>
      <c r="E305" s="17"/>
      <c r="F305" s="40"/>
      <c r="G305" s="16"/>
      <c r="H305" s="16"/>
      <c r="I305" s="17">
        <f>IF($A305="",0,SUMIFS('Daily Transactions'!$F$6:$F$500,'Daily Transactions'!$I$6:$I$500,$O305,'Daily Transactions'!$C$6:$C$500,"Expense"))</f>
        <v>0</v>
      </c>
      <c r="J305" s="17" t="str">
        <f t="shared" si="2"/>
        <v/>
      </c>
      <c r="K305" s="29" t="str">
        <f t="shared" si="3"/>
        <v/>
      </c>
      <c r="L305" s="29" t="str">
        <f t="shared" si="4"/>
        <v/>
      </c>
      <c r="M305" s="49" t="str">
        <f>IF($A305="","",IF(I305&gt;=E305,MAXIFS('Daily Transactions'!$A$6:$A$500,'Daily Transactions'!$I$6:$I$500,$O305,'Daily Transactions'!$C$6:$C$500,"Expense"),""))</f>
        <v/>
      </c>
      <c r="N305" s="16"/>
      <c r="O305" s="26" t="str">
        <f t="shared" si="5"/>
        <v/>
      </c>
      <c r="P305" s="16"/>
    </row>
    <row r="306" ht="15.0" customHeight="1">
      <c r="A306" s="60" t="str">
        <f t="shared" si="1"/>
        <v/>
      </c>
      <c r="B306" s="33"/>
      <c r="C306" s="33"/>
      <c r="D306" s="33"/>
      <c r="E306" s="61"/>
      <c r="F306" s="32"/>
      <c r="G306" s="33"/>
      <c r="H306" s="33"/>
      <c r="I306" s="61">
        <f>IF($A306="",0,SUMIFS('Daily Transactions'!$F$6:$F$500,'Daily Transactions'!$I$6:$I$500,$O306,'Daily Transactions'!$C$6:$C$500,"Expense"))</f>
        <v>0</v>
      </c>
      <c r="J306" s="61" t="str">
        <f t="shared" si="2"/>
        <v/>
      </c>
      <c r="K306" s="60" t="str">
        <f t="shared" si="3"/>
        <v/>
      </c>
      <c r="L306" s="60" t="str">
        <f t="shared" si="4"/>
        <v/>
      </c>
      <c r="M306" s="56" t="str">
        <f>IF($A306="","",IF(I306&gt;=E306,MAXIFS('Daily Transactions'!$A$6:$A$500,'Daily Transactions'!$I$6:$I$500,$O306,'Daily Transactions'!$C$6:$C$500,"Expense"),""))</f>
        <v/>
      </c>
      <c r="N306" s="33"/>
      <c r="O306" s="26" t="str">
        <f t="shared" si="5"/>
        <v/>
      </c>
      <c r="P306" s="33"/>
    </row>
    <row r="307" ht="15.0" customHeight="1">
      <c r="A307" s="29" t="str">
        <f t="shared" si="1"/>
        <v/>
      </c>
      <c r="B307" s="16"/>
      <c r="C307" s="16"/>
      <c r="D307" s="16"/>
      <c r="E307" s="17"/>
      <c r="F307" s="40"/>
      <c r="G307" s="16"/>
      <c r="H307" s="16"/>
      <c r="I307" s="17">
        <f>IF($A307="",0,SUMIFS('Daily Transactions'!$F$6:$F$500,'Daily Transactions'!$I$6:$I$500,$O307,'Daily Transactions'!$C$6:$C$500,"Expense"))</f>
        <v>0</v>
      </c>
      <c r="J307" s="17" t="str">
        <f t="shared" si="2"/>
        <v/>
      </c>
      <c r="K307" s="29" t="str">
        <f t="shared" si="3"/>
        <v/>
      </c>
      <c r="L307" s="29" t="str">
        <f t="shared" si="4"/>
        <v/>
      </c>
      <c r="M307" s="49" t="str">
        <f>IF($A307="","",IF(I307&gt;=E307,MAXIFS('Daily Transactions'!$A$6:$A$500,'Daily Transactions'!$I$6:$I$500,$O307,'Daily Transactions'!$C$6:$C$500,"Expense"),""))</f>
        <v/>
      </c>
      <c r="N307" s="16"/>
      <c r="O307" s="26" t="str">
        <f t="shared" si="5"/>
        <v/>
      </c>
      <c r="P307" s="16"/>
    </row>
    <row r="308" ht="15.0" customHeight="1">
      <c r="A308" s="60" t="str">
        <f t="shared" si="1"/>
        <v/>
      </c>
      <c r="B308" s="33"/>
      <c r="C308" s="33"/>
      <c r="D308" s="33"/>
      <c r="E308" s="61"/>
      <c r="F308" s="32"/>
      <c r="G308" s="33"/>
      <c r="H308" s="33"/>
      <c r="I308" s="61">
        <f>IF($A308="",0,SUMIFS('Daily Transactions'!$F$6:$F$500,'Daily Transactions'!$I$6:$I$500,$O308,'Daily Transactions'!$C$6:$C$500,"Expense"))</f>
        <v>0</v>
      </c>
      <c r="J308" s="61" t="str">
        <f t="shared" si="2"/>
        <v/>
      </c>
      <c r="K308" s="60" t="str">
        <f t="shared" si="3"/>
        <v/>
      </c>
      <c r="L308" s="60" t="str">
        <f t="shared" si="4"/>
        <v/>
      </c>
      <c r="M308" s="56" t="str">
        <f>IF($A308="","",IF(I308&gt;=E308,MAXIFS('Daily Transactions'!$A$6:$A$500,'Daily Transactions'!$I$6:$I$500,$O308,'Daily Transactions'!$C$6:$C$500,"Expense"),""))</f>
        <v/>
      </c>
      <c r="N308" s="33"/>
      <c r="O308" s="26" t="str">
        <f t="shared" si="5"/>
        <v/>
      </c>
      <c r="P308" s="33"/>
    </row>
    <row r="309" ht="15.0" customHeight="1">
      <c r="A309" s="29" t="str">
        <f t="shared" si="1"/>
        <v/>
      </c>
      <c r="B309" s="16"/>
      <c r="C309" s="16"/>
      <c r="D309" s="16"/>
      <c r="E309" s="17"/>
      <c r="F309" s="40"/>
      <c r="G309" s="16"/>
      <c r="H309" s="16"/>
      <c r="I309" s="17">
        <f>IF($A309="",0,SUMIFS('Daily Transactions'!$F$6:$F$500,'Daily Transactions'!$I$6:$I$500,$O309,'Daily Transactions'!$C$6:$C$500,"Expense"))</f>
        <v>0</v>
      </c>
      <c r="J309" s="17" t="str">
        <f t="shared" si="2"/>
        <v/>
      </c>
      <c r="K309" s="29" t="str">
        <f t="shared" si="3"/>
        <v/>
      </c>
      <c r="L309" s="29" t="str">
        <f t="shared" si="4"/>
        <v/>
      </c>
      <c r="M309" s="49" t="str">
        <f>IF($A309="","",IF(I309&gt;=E309,MAXIFS('Daily Transactions'!$A$6:$A$500,'Daily Transactions'!$I$6:$I$500,$O309,'Daily Transactions'!$C$6:$C$500,"Expense"),""))</f>
        <v/>
      </c>
      <c r="N309" s="16"/>
      <c r="O309" s="26" t="str">
        <f t="shared" si="5"/>
        <v/>
      </c>
      <c r="P309" s="16"/>
    </row>
    <row r="310" ht="15.0" customHeight="1">
      <c r="A310" s="60" t="str">
        <f t="shared" si="1"/>
        <v/>
      </c>
      <c r="B310" s="33"/>
      <c r="C310" s="33"/>
      <c r="D310" s="33"/>
      <c r="E310" s="61"/>
      <c r="F310" s="32"/>
      <c r="G310" s="33"/>
      <c r="H310" s="33"/>
      <c r="I310" s="61">
        <f>IF($A310="",0,SUMIFS('Daily Transactions'!$F$6:$F$500,'Daily Transactions'!$I$6:$I$500,$O310,'Daily Transactions'!$C$6:$C$500,"Expense"))</f>
        <v>0</v>
      </c>
      <c r="J310" s="61" t="str">
        <f t="shared" si="2"/>
        <v/>
      </c>
      <c r="K310" s="60" t="str">
        <f t="shared" si="3"/>
        <v/>
      </c>
      <c r="L310" s="60" t="str">
        <f t="shared" si="4"/>
        <v/>
      </c>
      <c r="M310" s="56" t="str">
        <f>IF($A310="","",IF(I310&gt;=E310,MAXIFS('Daily Transactions'!$A$6:$A$500,'Daily Transactions'!$I$6:$I$500,$O310,'Daily Transactions'!$C$6:$C$500,"Expense"),""))</f>
        <v/>
      </c>
      <c r="N310" s="33"/>
      <c r="O310" s="26" t="str">
        <f t="shared" si="5"/>
        <v/>
      </c>
      <c r="P310" s="33"/>
    </row>
    <row r="311" ht="15.0" customHeight="1">
      <c r="A311" s="29" t="str">
        <f t="shared" si="1"/>
        <v/>
      </c>
      <c r="B311" s="16"/>
      <c r="C311" s="16"/>
      <c r="D311" s="16"/>
      <c r="E311" s="17"/>
      <c r="F311" s="40"/>
      <c r="G311" s="16"/>
      <c r="H311" s="16"/>
      <c r="I311" s="17">
        <f>IF($A311="",0,SUMIFS('Daily Transactions'!$F$6:$F$500,'Daily Transactions'!$I$6:$I$500,$O311,'Daily Transactions'!$C$6:$C$500,"Expense"))</f>
        <v>0</v>
      </c>
      <c r="J311" s="17" t="str">
        <f t="shared" si="2"/>
        <v/>
      </c>
      <c r="K311" s="29" t="str">
        <f t="shared" si="3"/>
        <v/>
      </c>
      <c r="L311" s="29" t="str">
        <f t="shared" si="4"/>
        <v/>
      </c>
      <c r="M311" s="49" t="str">
        <f>IF($A311="","",IF(I311&gt;=E311,MAXIFS('Daily Transactions'!$A$6:$A$500,'Daily Transactions'!$I$6:$I$500,$O311,'Daily Transactions'!$C$6:$C$500,"Expense"),""))</f>
        <v/>
      </c>
      <c r="N311" s="16"/>
      <c r="O311" s="26" t="str">
        <f t="shared" si="5"/>
        <v/>
      </c>
      <c r="P311" s="16"/>
    </row>
    <row r="312" ht="15.0" customHeight="1">
      <c r="A312" s="60" t="str">
        <f t="shared" si="1"/>
        <v/>
      </c>
      <c r="B312" s="33"/>
      <c r="C312" s="33"/>
      <c r="D312" s="33"/>
      <c r="E312" s="61"/>
      <c r="F312" s="32"/>
      <c r="G312" s="33"/>
      <c r="H312" s="33"/>
      <c r="I312" s="61">
        <f>IF($A312="",0,SUMIFS('Daily Transactions'!$F$6:$F$500,'Daily Transactions'!$I$6:$I$500,$O312,'Daily Transactions'!$C$6:$C$500,"Expense"))</f>
        <v>0</v>
      </c>
      <c r="J312" s="61" t="str">
        <f t="shared" si="2"/>
        <v/>
      </c>
      <c r="K312" s="60" t="str">
        <f t="shared" si="3"/>
        <v/>
      </c>
      <c r="L312" s="60" t="str">
        <f t="shared" si="4"/>
        <v/>
      </c>
      <c r="M312" s="56" t="str">
        <f>IF($A312="","",IF(I312&gt;=E312,MAXIFS('Daily Transactions'!$A$6:$A$500,'Daily Transactions'!$I$6:$I$500,$O312,'Daily Transactions'!$C$6:$C$500,"Expense"),""))</f>
        <v/>
      </c>
      <c r="N312" s="33"/>
      <c r="O312" s="26" t="str">
        <f t="shared" si="5"/>
        <v/>
      </c>
      <c r="P312" s="33"/>
    </row>
    <row r="313" ht="15.0" customHeight="1">
      <c r="A313" s="29" t="str">
        <f t="shared" si="1"/>
        <v/>
      </c>
      <c r="B313" s="16"/>
      <c r="C313" s="16"/>
      <c r="D313" s="16"/>
      <c r="E313" s="17"/>
      <c r="F313" s="40"/>
      <c r="G313" s="16"/>
      <c r="H313" s="16"/>
      <c r="I313" s="17">
        <f>IF($A313="",0,SUMIFS('Daily Transactions'!$F$6:$F$500,'Daily Transactions'!$I$6:$I$500,$O313,'Daily Transactions'!$C$6:$C$500,"Expense"))</f>
        <v>0</v>
      </c>
      <c r="J313" s="17" t="str">
        <f t="shared" si="2"/>
        <v/>
      </c>
      <c r="K313" s="29" t="str">
        <f t="shared" si="3"/>
        <v/>
      </c>
      <c r="L313" s="29" t="str">
        <f t="shared" si="4"/>
        <v/>
      </c>
      <c r="M313" s="49" t="str">
        <f>IF($A313="","",IF(I313&gt;=E313,MAXIFS('Daily Transactions'!$A$6:$A$500,'Daily Transactions'!$I$6:$I$500,$O313,'Daily Transactions'!$C$6:$C$500,"Expense"),""))</f>
        <v/>
      </c>
      <c r="N313" s="16"/>
      <c r="O313" s="26" t="str">
        <f t="shared" si="5"/>
        <v/>
      </c>
      <c r="P313" s="16"/>
    </row>
    <row r="314" ht="15.0" customHeight="1">
      <c r="A314" s="60" t="str">
        <f t="shared" si="1"/>
        <v/>
      </c>
      <c r="B314" s="33"/>
      <c r="C314" s="33"/>
      <c r="D314" s="33"/>
      <c r="E314" s="61"/>
      <c r="F314" s="32"/>
      <c r="G314" s="33"/>
      <c r="H314" s="33"/>
      <c r="I314" s="61">
        <f>IF($A314="",0,SUMIFS('Daily Transactions'!$F$6:$F$500,'Daily Transactions'!$I$6:$I$500,$O314,'Daily Transactions'!$C$6:$C$500,"Expense"))</f>
        <v>0</v>
      </c>
      <c r="J314" s="61" t="str">
        <f t="shared" si="2"/>
        <v/>
      </c>
      <c r="K314" s="60" t="str">
        <f t="shared" si="3"/>
        <v/>
      </c>
      <c r="L314" s="60" t="str">
        <f t="shared" si="4"/>
        <v/>
      </c>
      <c r="M314" s="56" t="str">
        <f>IF($A314="","",IF(I314&gt;=E314,MAXIFS('Daily Transactions'!$A$6:$A$500,'Daily Transactions'!$I$6:$I$500,$O314,'Daily Transactions'!$C$6:$C$500,"Expense"),""))</f>
        <v/>
      </c>
      <c r="N314" s="33"/>
      <c r="O314" s="26" t="str">
        <f t="shared" si="5"/>
        <v/>
      </c>
      <c r="P314" s="33"/>
    </row>
    <row r="315" ht="15.0" customHeight="1">
      <c r="A315" s="29" t="str">
        <f t="shared" si="1"/>
        <v/>
      </c>
      <c r="B315" s="16"/>
      <c r="C315" s="16"/>
      <c r="D315" s="16"/>
      <c r="E315" s="17"/>
      <c r="F315" s="40"/>
      <c r="G315" s="16"/>
      <c r="H315" s="16"/>
      <c r="I315" s="17">
        <f>IF($A315="",0,SUMIFS('Daily Transactions'!$F$6:$F$500,'Daily Transactions'!$I$6:$I$500,$O315,'Daily Transactions'!$C$6:$C$500,"Expense"))</f>
        <v>0</v>
      </c>
      <c r="J315" s="17" t="str">
        <f t="shared" si="2"/>
        <v/>
      </c>
      <c r="K315" s="29" t="str">
        <f t="shared" si="3"/>
        <v/>
      </c>
      <c r="L315" s="29" t="str">
        <f t="shared" si="4"/>
        <v/>
      </c>
      <c r="M315" s="49" t="str">
        <f>IF($A315="","",IF(I315&gt;=E315,MAXIFS('Daily Transactions'!$A$6:$A$500,'Daily Transactions'!$I$6:$I$500,$O315,'Daily Transactions'!$C$6:$C$500,"Expense"),""))</f>
        <v/>
      </c>
      <c r="N315" s="16"/>
      <c r="O315" s="26" t="str">
        <f t="shared" si="5"/>
        <v/>
      </c>
      <c r="P315" s="16"/>
    </row>
    <row r="316" ht="15.0" customHeight="1">
      <c r="A316" s="60" t="str">
        <f t="shared" si="1"/>
        <v/>
      </c>
      <c r="B316" s="33"/>
      <c r="C316" s="33"/>
      <c r="D316" s="33"/>
      <c r="E316" s="61"/>
      <c r="F316" s="32"/>
      <c r="G316" s="33"/>
      <c r="H316" s="33"/>
      <c r="I316" s="61">
        <f>IF($A316="",0,SUMIFS('Daily Transactions'!$F$6:$F$500,'Daily Transactions'!$I$6:$I$500,$O316,'Daily Transactions'!$C$6:$C$500,"Expense"))</f>
        <v>0</v>
      </c>
      <c r="J316" s="61" t="str">
        <f t="shared" si="2"/>
        <v/>
      </c>
      <c r="K316" s="60" t="str">
        <f t="shared" si="3"/>
        <v/>
      </c>
      <c r="L316" s="60" t="str">
        <f t="shared" si="4"/>
        <v/>
      </c>
      <c r="M316" s="56" t="str">
        <f>IF($A316="","",IF(I316&gt;=E316,MAXIFS('Daily Transactions'!$A$6:$A$500,'Daily Transactions'!$I$6:$I$500,$O316,'Daily Transactions'!$C$6:$C$500,"Expense"),""))</f>
        <v/>
      </c>
      <c r="N316" s="33"/>
      <c r="O316" s="26" t="str">
        <f t="shared" si="5"/>
        <v/>
      </c>
      <c r="P316" s="33"/>
    </row>
    <row r="317" ht="15.0" customHeight="1">
      <c r="A317" s="29" t="str">
        <f t="shared" si="1"/>
        <v/>
      </c>
      <c r="B317" s="16"/>
      <c r="C317" s="16"/>
      <c r="D317" s="16"/>
      <c r="E317" s="17"/>
      <c r="F317" s="40"/>
      <c r="G317" s="16"/>
      <c r="H317" s="16"/>
      <c r="I317" s="17">
        <f>IF($A317="",0,SUMIFS('Daily Transactions'!$F$6:$F$500,'Daily Transactions'!$I$6:$I$500,$O317,'Daily Transactions'!$C$6:$C$500,"Expense"))</f>
        <v>0</v>
      </c>
      <c r="J317" s="17" t="str">
        <f t="shared" si="2"/>
        <v/>
      </c>
      <c r="K317" s="29" t="str">
        <f t="shared" si="3"/>
        <v/>
      </c>
      <c r="L317" s="29" t="str">
        <f t="shared" si="4"/>
        <v/>
      </c>
      <c r="M317" s="49" t="str">
        <f>IF($A317="","",IF(I317&gt;=E317,MAXIFS('Daily Transactions'!$A$6:$A$500,'Daily Transactions'!$I$6:$I$500,$O317,'Daily Transactions'!$C$6:$C$500,"Expense"),""))</f>
        <v/>
      </c>
      <c r="N317" s="16"/>
      <c r="O317" s="26" t="str">
        <f t="shared" si="5"/>
        <v/>
      </c>
      <c r="P317" s="16"/>
    </row>
    <row r="318" ht="15.0" customHeight="1">
      <c r="A318" s="60" t="str">
        <f t="shared" si="1"/>
        <v/>
      </c>
      <c r="B318" s="33"/>
      <c r="C318" s="33"/>
      <c r="D318" s="33"/>
      <c r="E318" s="61"/>
      <c r="F318" s="32"/>
      <c r="G318" s="33"/>
      <c r="H318" s="33"/>
      <c r="I318" s="61">
        <f>IF($A318="",0,SUMIFS('Daily Transactions'!$F$6:$F$500,'Daily Transactions'!$I$6:$I$500,$O318,'Daily Transactions'!$C$6:$C$500,"Expense"))</f>
        <v>0</v>
      </c>
      <c r="J318" s="61" t="str">
        <f t="shared" si="2"/>
        <v/>
      </c>
      <c r="K318" s="60" t="str">
        <f t="shared" si="3"/>
        <v/>
      </c>
      <c r="L318" s="60" t="str">
        <f t="shared" si="4"/>
        <v/>
      </c>
      <c r="M318" s="56" t="str">
        <f>IF($A318="","",IF(I318&gt;=E318,MAXIFS('Daily Transactions'!$A$6:$A$500,'Daily Transactions'!$I$6:$I$500,$O318,'Daily Transactions'!$C$6:$C$500,"Expense"),""))</f>
        <v/>
      </c>
      <c r="N318" s="33"/>
      <c r="O318" s="26" t="str">
        <f t="shared" si="5"/>
        <v/>
      </c>
      <c r="P318" s="33"/>
    </row>
    <row r="319" ht="15.0" customHeight="1">
      <c r="A319" s="29" t="str">
        <f t="shared" si="1"/>
        <v/>
      </c>
      <c r="B319" s="16"/>
      <c r="C319" s="16"/>
      <c r="D319" s="16"/>
      <c r="E319" s="17"/>
      <c r="F319" s="40"/>
      <c r="G319" s="16"/>
      <c r="H319" s="16"/>
      <c r="I319" s="17">
        <f>IF($A319="",0,SUMIFS('Daily Transactions'!$F$6:$F$500,'Daily Transactions'!$I$6:$I$500,$O319,'Daily Transactions'!$C$6:$C$500,"Expense"))</f>
        <v>0</v>
      </c>
      <c r="J319" s="17" t="str">
        <f t="shared" si="2"/>
        <v/>
      </c>
      <c r="K319" s="29" t="str">
        <f t="shared" si="3"/>
        <v/>
      </c>
      <c r="L319" s="29" t="str">
        <f t="shared" si="4"/>
        <v/>
      </c>
      <c r="M319" s="49" t="str">
        <f>IF($A319="","",IF(I319&gt;=E319,MAXIFS('Daily Transactions'!$A$6:$A$500,'Daily Transactions'!$I$6:$I$500,$O319,'Daily Transactions'!$C$6:$C$500,"Expense"),""))</f>
        <v/>
      </c>
      <c r="N319" s="16"/>
      <c r="O319" s="26" t="str">
        <f t="shared" si="5"/>
        <v/>
      </c>
      <c r="P319" s="16"/>
    </row>
    <row r="320" ht="15.0" customHeight="1">
      <c r="A320" s="60" t="str">
        <f t="shared" si="1"/>
        <v/>
      </c>
      <c r="B320" s="33"/>
      <c r="C320" s="33"/>
      <c r="D320" s="33"/>
      <c r="E320" s="61"/>
      <c r="F320" s="32"/>
      <c r="G320" s="33"/>
      <c r="H320" s="33"/>
      <c r="I320" s="61">
        <f>IF($A320="",0,SUMIFS('Daily Transactions'!$F$6:$F$500,'Daily Transactions'!$I$6:$I$500,$O320,'Daily Transactions'!$C$6:$C$500,"Expense"))</f>
        <v>0</v>
      </c>
      <c r="J320" s="61" t="str">
        <f t="shared" si="2"/>
        <v/>
      </c>
      <c r="K320" s="60" t="str">
        <f t="shared" si="3"/>
        <v/>
      </c>
      <c r="L320" s="60" t="str">
        <f t="shared" si="4"/>
        <v/>
      </c>
      <c r="M320" s="56" t="str">
        <f>IF($A320="","",IF(I320&gt;=E320,MAXIFS('Daily Transactions'!$A$6:$A$500,'Daily Transactions'!$I$6:$I$500,$O320,'Daily Transactions'!$C$6:$C$500,"Expense"),""))</f>
        <v/>
      </c>
      <c r="N320" s="33"/>
      <c r="O320" s="26" t="str">
        <f t="shared" si="5"/>
        <v/>
      </c>
      <c r="P320" s="33"/>
    </row>
    <row r="321" ht="15.0" customHeight="1">
      <c r="A321" s="29" t="str">
        <f t="shared" si="1"/>
        <v/>
      </c>
      <c r="B321" s="16"/>
      <c r="C321" s="16"/>
      <c r="D321" s="16"/>
      <c r="E321" s="17"/>
      <c r="F321" s="40"/>
      <c r="G321" s="16"/>
      <c r="H321" s="16"/>
      <c r="I321" s="17">
        <f>IF($A321="",0,SUMIFS('Daily Transactions'!$F$6:$F$500,'Daily Transactions'!$I$6:$I$500,$O321,'Daily Transactions'!$C$6:$C$500,"Expense"))</f>
        <v>0</v>
      </c>
      <c r="J321" s="17" t="str">
        <f t="shared" si="2"/>
        <v/>
      </c>
      <c r="K321" s="29" t="str">
        <f t="shared" si="3"/>
        <v/>
      </c>
      <c r="L321" s="29" t="str">
        <f t="shared" si="4"/>
        <v/>
      </c>
      <c r="M321" s="49" t="str">
        <f>IF($A321="","",IF(I321&gt;=E321,MAXIFS('Daily Transactions'!$A$6:$A$500,'Daily Transactions'!$I$6:$I$500,$O321,'Daily Transactions'!$C$6:$C$500,"Expense"),""))</f>
        <v/>
      </c>
      <c r="N321" s="16"/>
      <c r="O321" s="26" t="str">
        <f t="shared" si="5"/>
        <v/>
      </c>
      <c r="P321" s="16"/>
    </row>
    <row r="322" ht="15.0" customHeight="1">
      <c r="A322" s="60" t="str">
        <f t="shared" si="1"/>
        <v/>
      </c>
      <c r="B322" s="33"/>
      <c r="C322" s="33"/>
      <c r="D322" s="33"/>
      <c r="E322" s="61"/>
      <c r="F322" s="32"/>
      <c r="G322" s="33"/>
      <c r="H322" s="33"/>
      <c r="I322" s="61">
        <f>IF($A322="",0,SUMIFS('Daily Transactions'!$F$6:$F$500,'Daily Transactions'!$I$6:$I$500,$O322,'Daily Transactions'!$C$6:$C$500,"Expense"))</f>
        <v>0</v>
      </c>
      <c r="J322" s="61" t="str">
        <f t="shared" si="2"/>
        <v/>
      </c>
      <c r="K322" s="60" t="str">
        <f t="shared" si="3"/>
        <v/>
      </c>
      <c r="L322" s="60" t="str">
        <f t="shared" si="4"/>
        <v/>
      </c>
      <c r="M322" s="56" t="str">
        <f>IF($A322="","",IF(I322&gt;=E322,MAXIFS('Daily Transactions'!$A$6:$A$500,'Daily Transactions'!$I$6:$I$500,$O322,'Daily Transactions'!$C$6:$C$500,"Expense"),""))</f>
        <v/>
      </c>
      <c r="N322" s="33"/>
      <c r="O322" s="26" t="str">
        <f t="shared" si="5"/>
        <v/>
      </c>
      <c r="P322" s="33"/>
    </row>
    <row r="323" ht="15.0" customHeight="1">
      <c r="A323" s="29" t="str">
        <f t="shared" si="1"/>
        <v/>
      </c>
      <c r="B323" s="16"/>
      <c r="C323" s="16"/>
      <c r="D323" s="16"/>
      <c r="E323" s="17"/>
      <c r="F323" s="40"/>
      <c r="G323" s="16"/>
      <c r="H323" s="16"/>
      <c r="I323" s="17">
        <f>IF($A323="",0,SUMIFS('Daily Transactions'!$F$6:$F$500,'Daily Transactions'!$I$6:$I$500,$O323,'Daily Transactions'!$C$6:$C$500,"Expense"))</f>
        <v>0</v>
      </c>
      <c r="J323" s="17" t="str">
        <f t="shared" si="2"/>
        <v/>
      </c>
      <c r="K323" s="29" t="str">
        <f t="shared" si="3"/>
        <v/>
      </c>
      <c r="L323" s="29" t="str">
        <f t="shared" si="4"/>
        <v/>
      </c>
      <c r="M323" s="49" t="str">
        <f>IF($A323="","",IF(I323&gt;=E323,MAXIFS('Daily Transactions'!$A$6:$A$500,'Daily Transactions'!$I$6:$I$500,$O323,'Daily Transactions'!$C$6:$C$500,"Expense"),""))</f>
        <v/>
      </c>
      <c r="N323" s="16"/>
      <c r="O323" s="26" t="str">
        <f t="shared" si="5"/>
        <v/>
      </c>
      <c r="P323" s="16"/>
    </row>
    <row r="324" ht="15.0" customHeight="1">
      <c r="A324" s="60" t="str">
        <f t="shared" si="1"/>
        <v/>
      </c>
      <c r="B324" s="33"/>
      <c r="C324" s="33"/>
      <c r="D324" s="33"/>
      <c r="E324" s="61"/>
      <c r="F324" s="32"/>
      <c r="G324" s="33"/>
      <c r="H324" s="33"/>
      <c r="I324" s="61">
        <f>IF($A324="",0,SUMIFS('Daily Transactions'!$F$6:$F$500,'Daily Transactions'!$I$6:$I$500,$O324,'Daily Transactions'!$C$6:$C$500,"Expense"))</f>
        <v>0</v>
      </c>
      <c r="J324" s="61" t="str">
        <f t="shared" si="2"/>
        <v/>
      </c>
      <c r="K324" s="60" t="str">
        <f t="shared" si="3"/>
        <v/>
      </c>
      <c r="L324" s="60" t="str">
        <f t="shared" si="4"/>
        <v/>
      </c>
      <c r="M324" s="56" t="str">
        <f>IF($A324="","",IF(I324&gt;=E324,MAXIFS('Daily Transactions'!$A$6:$A$500,'Daily Transactions'!$I$6:$I$500,$O324,'Daily Transactions'!$C$6:$C$500,"Expense"),""))</f>
        <v/>
      </c>
      <c r="N324" s="33"/>
      <c r="O324" s="26" t="str">
        <f t="shared" si="5"/>
        <v/>
      </c>
      <c r="P324" s="33"/>
    </row>
    <row r="325" ht="15.0" customHeight="1">
      <c r="A325" s="29" t="str">
        <f t="shared" si="1"/>
        <v/>
      </c>
      <c r="B325" s="16"/>
      <c r="C325" s="16"/>
      <c r="D325" s="16"/>
      <c r="E325" s="17"/>
      <c r="F325" s="40"/>
      <c r="G325" s="16"/>
      <c r="H325" s="16"/>
      <c r="I325" s="17">
        <f>IF($A325="",0,SUMIFS('Daily Transactions'!$F$6:$F$500,'Daily Transactions'!$I$6:$I$500,$O325,'Daily Transactions'!$C$6:$C$500,"Expense"))</f>
        <v>0</v>
      </c>
      <c r="J325" s="17" t="str">
        <f t="shared" si="2"/>
        <v/>
      </c>
      <c r="K325" s="29" t="str">
        <f t="shared" si="3"/>
        <v/>
      </c>
      <c r="L325" s="29" t="str">
        <f t="shared" si="4"/>
        <v/>
      </c>
      <c r="M325" s="49" t="str">
        <f>IF($A325="","",IF(I325&gt;=E325,MAXIFS('Daily Transactions'!$A$6:$A$500,'Daily Transactions'!$I$6:$I$500,$O325,'Daily Transactions'!$C$6:$C$500,"Expense"),""))</f>
        <v/>
      </c>
      <c r="N325" s="16"/>
      <c r="O325" s="26" t="str">
        <f t="shared" si="5"/>
        <v/>
      </c>
      <c r="P325" s="16"/>
    </row>
    <row r="326" ht="15.0" customHeight="1">
      <c r="A326" s="60" t="str">
        <f t="shared" si="1"/>
        <v/>
      </c>
      <c r="B326" s="33"/>
      <c r="C326" s="33"/>
      <c r="D326" s="33"/>
      <c r="E326" s="61"/>
      <c r="F326" s="32"/>
      <c r="G326" s="33"/>
      <c r="H326" s="33"/>
      <c r="I326" s="61">
        <f>IF($A326="",0,SUMIFS('Daily Transactions'!$F$6:$F$500,'Daily Transactions'!$I$6:$I$500,$O326,'Daily Transactions'!$C$6:$C$500,"Expense"))</f>
        <v>0</v>
      </c>
      <c r="J326" s="61" t="str">
        <f t="shared" si="2"/>
        <v/>
      </c>
      <c r="K326" s="60" t="str">
        <f t="shared" si="3"/>
        <v/>
      </c>
      <c r="L326" s="60" t="str">
        <f t="shared" si="4"/>
        <v/>
      </c>
      <c r="M326" s="56" t="str">
        <f>IF($A326="","",IF(I326&gt;=E326,MAXIFS('Daily Transactions'!$A$6:$A$500,'Daily Transactions'!$I$6:$I$500,$O326,'Daily Transactions'!$C$6:$C$500,"Expense"),""))</f>
        <v/>
      </c>
      <c r="N326" s="33"/>
      <c r="O326" s="26" t="str">
        <f t="shared" si="5"/>
        <v/>
      </c>
      <c r="P326" s="33"/>
    </row>
    <row r="327" ht="15.0" customHeight="1">
      <c r="A327" s="29" t="str">
        <f t="shared" si="1"/>
        <v/>
      </c>
      <c r="B327" s="16"/>
      <c r="C327" s="16"/>
      <c r="D327" s="16"/>
      <c r="E327" s="17"/>
      <c r="F327" s="40"/>
      <c r="G327" s="16"/>
      <c r="H327" s="16"/>
      <c r="I327" s="17">
        <f>IF($A327="",0,SUMIFS('Daily Transactions'!$F$6:$F$500,'Daily Transactions'!$I$6:$I$500,$O327,'Daily Transactions'!$C$6:$C$500,"Expense"))</f>
        <v>0</v>
      </c>
      <c r="J327" s="17" t="str">
        <f t="shared" si="2"/>
        <v/>
      </c>
      <c r="K327" s="29" t="str">
        <f t="shared" si="3"/>
        <v/>
      </c>
      <c r="L327" s="29" t="str">
        <f t="shared" si="4"/>
        <v/>
      </c>
      <c r="M327" s="49" t="str">
        <f>IF($A327="","",IF(I327&gt;=E327,MAXIFS('Daily Transactions'!$A$6:$A$500,'Daily Transactions'!$I$6:$I$500,$O327,'Daily Transactions'!$C$6:$C$500,"Expense"),""))</f>
        <v/>
      </c>
      <c r="N327" s="16"/>
      <c r="O327" s="26" t="str">
        <f t="shared" si="5"/>
        <v/>
      </c>
      <c r="P327" s="16"/>
    </row>
    <row r="328" ht="15.0" customHeight="1">
      <c r="A328" s="60" t="str">
        <f t="shared" si="1"/>
        <v/>
      </c>
      <c r="B328" s="33"/>
      <c r="C328" s="33"/>
      <c r="D328" s="33"/>
      <c r="E328" s="61"/>
      <c r="F328" s="32"/>
      <c r="G328" s="33"/>
      <c r="H328" s="33"/>
      <c r="I328" s="61">
        <f>IF($A328="",0,SUMIFS('Daily Transactions'!$F$6:$F$500,'Daily Transactions'!$I$6:$I$500,$O328,'Daily Transactions'!$C$6:$C$500,"Expense"))</f>
        <v>0</v>
      </c>
      <c r="J328" s="61" t="str">
        <f t="shared" si="2"/>
        <v/>
      </c>
      <c r="K328" s="60" t="str">
        <f t="shared" si="3"/>
        <v/>
      </c>
      <c r="L328" s="60" t="str">
        <f t="shared" si="4"/>
        <v/>
      </c>
      <c r="M328" s="56" t="str">
        <f>IF($A328="","",IF(I328&gt;=E328,MAXIFS('Daily Transactions'!$A$6:$A$500,'Daily Transactions'!$I$6:$I$500,$O328,'Daily Transactions'!$C$6:$C$500,"Expense"),""))</f>
        <v/>
      </c>
      <c r="N328" s="33"/>
      <c r="O328" s="26" t="str">
        <f t="shared" si="5"/>
        <v/>
      </c>
      <c r="P328" s="33"/>
    </row>
    <row r="329" ht="15.0" customHeight="1">
      <c r="A329" s="29" t="str">
        <f t="shared" si="1"/>
        <v/>
      </c>
      <c r="B329" s="16"/>
      <c r="C329" s="16"/>
      <c r="D329" s="16"/>
      <c r="E329" s="17"/>
      <c r="F329" s="40"/>
      <c r="G329" s="16"/>
      <c r="H329" s="16"/>
      <c r="I329" s="17">
        <f>IF($A329="",0,SUMIFS('Daily Transactions'!$F$6:$F$500,'Daily Transactions'!$I$6:$I$500,$O329,'Daily Transactions'!$C$6:$C$500,"Expense"))</f>
        <v>0</v>
      </c>
      <c r="J329" s="17" t="str">
        <f t="shared" si="2"/>
        <v/>
      </c>
      <c r="K329" s="29" t="str">
        <f t="shared" si="3"/>
        <v/>
      </c>
      <c r="L329" s="29" t="str">
        <f t="shared" si="4"/>
        <v/>
      </c>
      <c r="M329" s="49" t="str">
        <f>IF($A329="","",IF(I329&gt;=E329,MAXIFS('Daily Transactions'!$A$6:$A$500,'Daily Transactions'!$I$6:$I$500,$O329,'Daily Transactions'!$C$6:$C$500,"Expense"),""))</f>
        <v/>
      </c>
      <c r="N329" s="16"/>
      <c r="O329" s="26" t="str">
        <f t="shared" si="5"/>
        <v/>
      </c>
      <c r="P329" s="16"/>
    </row>
    <row r="330" ht="15.0" customHeight="1">
      <c r="A330" s="60" t="str">
        <f t="shared" si="1"/>
        <v/>
      </c>
      <c r="B330" s="33"/>
      <c r="C330" s="33"/>
      <c r="D330" s="33"/>
      <c r="E330" s="61"/>
      <c r="F330" s="32"/>
      <c r="G330" s="33"/>
      <c r="H330" s="33"/>
      <c r="I330" s="61">
        <f>IF($A330="",0,SUMIFS('Daily Transactions'!$F$6:$F$500,'Daily Transactions'!$I$6:$I$500,$O330,'Daily Transactions'!$C$6:$C$500,"Expense"))</f>
        <v>0</v>
      </c>
      <c r="J330" s="61" t="str">
        <f t="shared" si="2"/>
        <v/>
      </c>
      <c r="K330" s="60" t="str">
        <f t="shared" si="3"/>
        <v/>
      </c>
      <c r="L330" s="60" t="str">
        <f t="shared" si="4"/>
        <v/>
      </c>
      <c r="M330" s="56" t="str">
        <f>IF($A330="","",IF(I330&gt;=E330,MAXIFS('Daily Transactions'!$A$6:$A$500,'Daily Transactions'!$I$6:$I$500,$O330,'Daily Transactions'!$C$6:$C$500,"Expense"),""))</f>
        <v/>
      </c>
      <c r="N330" s="33"/>
      <c r="O330" s="26" t="str">
        <f t="shared" si="5"/>
        <v/>
      </c>
      <c r="P330" s="33"/>
    </row>
    <row r="331" ht="15.0" customHeight="1">
      <c r="A331" s="29" t="str">
        <f t="shared" si="1"/>
        <v/>
      </c>
      <c r="B331" s="16"/>
      <c r="C331" s="16"/>
      <c r="D331" s="16"/>
      <c r="E331" s="17"/>
      <c r="F331" s="40"/>
      <c r="G331" s="16"/>
      <c r="H331" s="16"/>
      <c r="I331" s="17">
        <f>IF($A331="",0,SUMIFS('Daily Transactions'!$F$6:$F$500,'Daily Transactions'!$I$6:$I$500,$O331,'Daily Transactions'!$C$6:$C$500,"Expense"))</f>
        <v>0</v>
      </c>
      <c r="J331" s="17" t="str">
        <f t="shared" si="2"/>
        <v/>
      </c>
      <c r="K331" s="29" t="str">
        <f t="shared" si="3"/>
        <v/>
      </c>
      <c r="L331" s="29" t="str">
        <f t="shared" si="4"/>
        <v/>
      </c>
      <c r="M331" s="49" t="str">
        <f>IF($A331="","",IF(I331&gt;=E331,MAXIFS('Daily Transactions'!$A$6:$A$500,'Daily Transactions'!$I$6:$I$500,$O331,'Daily Transactions'!$C$6:$C$500,"Expense"),""))</f>
        <v/>
      </c>
      <c r="N331" s="16"/>
      <c r="O331" s="26" t="str">
        <f t="shared" si="5"/>
        <v/>
      </c>
      <c r="P331" s="16"/>
    </row>
    <row r="332" ht="15.0" customHeight="1">
      <c r="A332" s="60" t="str">
        <f t="shared" si="1"/>
        <v/>
      </c>
      <c r="B332" s="33"/>
      <c r="C332" s="33"/>
      <c r="D332" s="33"/>
      <c r="E332" s="61"/>
      <c r="F332" s="32"/>
      <c r="G332" s="33"/>
      <c r="H332" s="33"/>
      <c r="I332" s="61">
        <f>IF($A332="",0,SUMIFS('Daily Transactions'!$F$6:$F$500,'Daily Transactions'!$I$6:$I$500,$O332,'Daily Transactions'!$C$6:$C$500,"Expense"))</f>
        <v>0</v>
      </c>
      <c r="J332" s="61" t="str">
        <f t="shared" si="2"/>
        <v/>
      </c>
      <c r="K332" s="60" t="str">
        <f t="shared" si="3"/>
        <v/>
      </c>
      <c r="L332" s="60" t="str">
        <f t="shared" si="4"/>
        <v/>
      </c>
      <c r="M332" s="56" t="str">
        <f>IF($A332="","",IF(I332&gt;=E332,MAXIFS('Daily Transactions'!$A$6:$A$500,'Daily Transactions'!$I$6:$I$500,$O332,'Daily Transactions'!$C$6:$C$500,"Expense"),""))</f>
        <v/>
      </c>
      <c r="N332" s="33"/>
      <c r="O332" s="26" t="str">
        <f t="shared" si="5"/>
        <v/>
      </c>
      <c r="P332" s="33"/>
    </row>
    <row r="333" ht="15.0" customHeight="1">
      <c r="A333" s="29" t="str">
        <f t="shared" si="1"/>
        <v/>
      </c>
      <c r="B333" s="16"/>
      <c r="C333" s="16"/>
      <c r="D333" s="16"/>
      <c r="E333" s="17"/>
      <c r="F333" s="40"/>
      <c r="G333" s="16"/>
      <c r="H333" s="16"/>
      <c r="I333" s="17">
        <f>IF($A333="",0,SUMIFS('Daily Transactions'!$F$6:$F$500,'Daily Transactions'!$I$6:$I$500,$O333,'Daily Transactions'!$C$6:$C$500,"Expense"))</f>
        <v>0</v>
      </c>
      <c r="J333" s="17" t="str">
        <f t="shared" si="2"/>
        <v/>
      </c>
      <c r="K333" s="29" t="str">
        <f t="shared" si="3"/>
        <v/>
      </c>
      <c r="L333" s="29" t="str">
        <f t="shared" si="4"/>
        <v/>
      </c>
      <c r="M333" s="49" t="str">
        <f>IF($A333="","",IF(I333&gt;=E333,MAXIFS('Daily Transactions'!$A$6:$A$500,'Daily Transactions'!$I$6:$I$500,$O333,'Daily Transactions'!$C$6:$C$500,"Expense"),""))</f>
        <v/>
      </c>
      <c r="N333" s="16"/>
      <c r="O333" s="26" t="str">
        <f t="shared" si="5"/>
        <v/>
      </c>
      <c r="P333" s="16"/>
    </row>
    <row r="334" ht="15.0" customHeight="1">
      <c r="A334" s="60" t="str">
        <f t="shared" si="1"/>
        <v/>
      </c>
      <c r="B334" s="33"/>
      <c r="C334" s="33"/>
      <c r="D334" s="33"/>
      <c r="E334" s="61"/>
      <c r="F334" s="32"/>
      <c r="G334" s="33"/>
      <c r="H334" s="33"/>
      <c r="I334" s="61">
        <f>IF($A334="",0,SUMIFS('Daily Transactions'!$F$6:$F$500,'Daily Transactions'!$I$6:$I$500,$O334,'Daily Transactions'!$C$6:$C$500,"Expense"))</f>
        <v>0</v>
      </c>
      <c r="J334" s="61" t="str">
        <f t="shared" si="2"/>
        <v/>
      </c>
      <c r="K334" s="60" t="str">
        <f t="shared" si="3"/>
        <v/>
      </c>
      <c r="L334" s="60" t="str">
        <f t="shared" si="4"/>
        <v/>
      </c>
      <c r="M334" s="56" t="str">
        <f>IF($A334="","",IF(I334&gt;=E334,MAXIFS('Daily Transactions'!$A$6:$A$500,'Daily Transactions'!$I$6:$I$500,$O334,'Daily Transactions'!$C$6:$C$500,"Expense"),""))</f>
        <v/>
      </c>
      <c r="N334" s="33"/>
      <c r="O334" s="26" t="str">
        <f t="shared" si="5"/>
        <v/>
      </c>
      <c r="P334" s="33"/>
    </row>
    <row r="335" ht="15.0" customHeight="1">
      <c r="A335" s="29" t="str">
        <f t="shared" si="1"/>
        <v/>
      </c>
      <c r="B335" s="16"/>
      <c r="C335" s="16"/>
      <c r="D335" s="16"/>
      <c r="E335" s="17"/>
      <c r="F335" s="40"/>
      <c r="G335" s="16"/>
      <c r="H335" s="16"/>
      <c r="I335" s="17">
        <f>IF($A335="",0,SUMIFS('Daily Transactions'!$F$6:$F$500,'Daily Transactions'!$I$6:$I$500,$O335,'Daily Transactions'!$C$6:$C$500,"Expense"))</f>
        <v>0</v>
      </c>
      <c r="J335" s="17" t="str">
        <f t="shared" si="2"/>
        <v/>
      </c>
      <c r="K335" s="29" t="str">
        <f t="shared" si="3"/>
        <v/>
      </c>
      <c r="L335" s="29" t="str">
        <f t="shared" si="4"/>
        <v/>
      </c>
      <c r="M335" s="49" t="str">
        <f>IF($A335="","",IF(I335&gt;=E335,MAXIFS('Daily Transactions'!$A$6:$A$500,'Daily Transactions'!$I$6:$I$500,$O335,'Daily Transactions'!$C$6:$C$500,"Expense"),""))</f>
        <v/>
      </c>
      <c r="N335" s="16"/>
      <c r="O335" s="26" t="str">
        <f t="shared" si="5"/>
        <v/>
      </c>
      <c r="P335" s="16"/>
    </row>
    <row r="336" ht="15.0" customHeight="1">
      <c r="A336" s="60" t="str">
        <f t="shared" si="1"/>
        <v/>
      </c>
      <c r="B336" s="33"/>
      <c r="C336" s="33"/>
      <c r="D336" s="33"/>
      <c r="E336" s="61"/>
      <c r="F336" s="32"/>
      <c r="G336" s="33"/>
      <c r="H336" s="33"/>
      <c r="I336" s="61">
        <f>IF($A336="",0,SUMIFS('Daily Transactions'!$F$6:$F$500,'Daily Transactions'!$I$6:$I$500,$O336,'Daily Transactions'!$C$6:$C$500,"Expense"))</f>
        <v>0</v>
      </c>
      <c r="J336" s="61" t="str">
        <f t="shared" si="2"/>
        <v/>
      </c>
      <c r="K336" s="60" t="str">
        <f t="shared" si="3"/>
        <v/>
      </c>
      <c r="L336" s="60" t="str">
        <f t="shared" si="4"/>
        <v/>
      </c>
      <c r="M336" s="56" t="str">
        <f>IF($A336="","",IF(I336&gt;=E336,MAXIFS('Daily Transactions'!$A$6:$A$500,'Daily Transactions'!$I$6:$I$500,$O336,'Daily Transactions'!$C$6:$C$500,"Expense"),""))</f>
        <v/>
      </c>
      <c r="N336" s="33"/>
      <c r="O336" s="26" t="str">
        <f t="shared" si="5"/>
        <v/>
      </c>
      <c r="P336" s="33"/>
    </row>
    <row r="337" ht="15.0" customHeight="1">
      <c r="A337" s="29" t="str">
        <f t="shared" si="1"/>
        <v/>
      </c>
      <c r="B337" s="16"/>
      <c r="C337" s="16"/>
      <c r="D337" s="16"/>
      <c r="E337" s="17"/>
      <c r="F337" s="40"/>
      <c r="G337" s="16"/>
      <c r="H337" s="16"/>
      <c r="I337" s="17">
        <f>IF($A337="",0,SUMIFS('Daily Transactions'!$F$6:$F$500,'Daily Transactions'!$I$6:$I$500,$O337,'Daily Transactions'!$C$6:$C$500,"Expense"))</f>
        <v>0</v>
      </c>
      <c r="J337" s="17" t="str">
        <f t="shared" si="2"/>
        <v/>
      </c>
      <c r="K337" s="29" t="str">
        <f t="shared" si="3"/>
        <v/>
      </c>
      <c r="L337" s="29" t="str">
        <f t="shared" si="4"/>
        <v/>
      </c>
      <c r="M337" s="49" t="str">
        <f>IF($A337="","",IF(I337&gt;=E337,MAXIFS('Daily Transactions'!$A$6:$A$500,'Daily Transactions'!$I$6:$I$500,$O337,'Daily Transactions'!$C$6:$C$500,"Expense"),""))</f>
        <v/>
      </c>
      <c r="N337" s="16"/>
      <c r="O337" s="26" t="str">
        <f t="shared" si="5"/>
        <v/>
      </c>
      <c r="P337" s="16"/>
    </row>
    <row r="338" ht="15.0" customHeight="1">
      <c r="A338" s="60" t="str">
        <f t="shared" si="1"/>
        <v/>
      </c>
      <c r="B338" s="33"/>
      <c r="C338" s="33"/>
      <c r="D338" s="33"/>
      <c r="E338" s="61"/>
      <c r="F338" s="32"/>
      <c r="G338" s="33"/>
      <c r="H338" s="33"/>
      <c r="I338" s="61">
        <f>IF($A338="",0,SUMIFS('Daily Transactions'!$F$6:$F$500,'Daily Transactions'!$I$6:$I$500,$O338,'Daily Transactions'!$C$6:$C$500,"Expense"))</f>
        <v>0</v>
      </c>
      <c r="J338" s="61" t="str">
        <f t="shared" si="2"/>
        <v/>
      </c>
      <c r="K338" s="60" t="str">
        <f t="shared" si="3"/>
        <v/>
      </c>
      <c r="L338" s="60" t="str">
        <f t="shared" si="4"/>
        <v/>
      </c>
      <c r="M338" s="56" t="str">
        <f>IF($A338="","",IF(I338&gt;=E338,MAXIFS('Daily Transactions'!$A$6:$A$500,'Daily Transactions'!$I$6:$I$500,$O338,'Daily Transactions'!$C$6:$C$500,"Expense"),""))</f>
        <v/>
      </c>
      <c r="N338" s="33"/>
      <c r="O338" s="26" t="str">
        <f t="shared" si="5"/>
        <v/>
      </c>
      <c r="P338" s="33"/>
    </row>
    <row r="339" ht="15.0" customHeight="1">
      <c r="A339" s="29" t="str">
        <f t="shared" si="1"/>
        <v/>
      </c>
      <c r="B339" s="16"/>
      <c r="C339" s="16"/>
      <c r="D339" s="16"/>
      <c r="E339" s="17"/>
      <c r="F339" s="40"/>
      <c r="G339" s="16"/>
      <c r="H339" s="16"/>
      <c r="I339" s="17">
        <f>IF($A339="",0,SUMIFS('Daily Transactions'!$F$6:$F$500,'Daily Transactions'!$I$6:$I$500,$O339,'Daily Transactions'!$C$6:$C$500,"Expense"))</f>
        <v>0</v>
      </c>
      <c r="J339" s="17" t="str">
        <f t="shared" si="2"/>
        <v/>
      </c>
      <c r="K339" s="29" t="str">
        <f t="shared" si="3"/>
        <v/>
      </c>
      <c r="L339" s="29" t="str">
        <f t="shared" si="4"/>
        <v/>
      </c>
      <c r="M339" s="49" t="str">
        <f>IF($A339="","",IF(I339&gt;=E339,MAXIFS('Daily Transactions'!$A$6:$A$500,'Daily Transactions'!$I$6:$I$500,$O339,'Daily Transactions'!$C$6:$C$500,"Expense"),""))</f>
        <v/>
      </c>
      <c r="N339" s="16"/>
      <c r="O339" s="26" t="str">
        <f t="shared" si="5"/>
        <v/>
      </c>
      <c r="P339" s="16"/>
    </row>
    <row r="340" ht="15.0" customHeight="1">
      <c r="A340" s="60" t="str">
        <f t="shared" si="1"/>
        <v/>
      </c>
      <c r="B340" s="33"/>
      <c r="C340" s="33"/>
      <c r="D340" s="33"/>
      <c r="E340" s="61"/>
      <c r="F340" s="32"/>
      <c r="G340" s="33"/>
      <c r="H340" s="33"/>
      <c r="I340" s="61">
        <f>IF($A340="",0,SUMIFS('Daily Transactions'!$F$6:$F$500,'Daily Transactions'!$I$6:$I$500,$O340,'Daily Transactions'!$C$6:$C$500,"Expense"))</f>
        <v>0</v>
      </c>
      <c r="J340" s="61" t="str">
        <f t="shared" si="2"/>
        <v/>
      </c>
      <c r="K340" s="60" t="str">
        <f t="shared" si="3"/>
        <v/>
      </c>
      <c r="L340" s="60" t="str">
        <f t="shared" si="4"/>
        <v/>
      </c>
      <c r="M340" s="56" t="str">
        <f>IF($A340="","",IF(I340&gt;=E340,MAXIFS('Daily Transactions'!$A$6:$A$500,'Daily Transactions'!$I$6:$I$500,$O340,'Daily Transactions'!$C$6:$C$500,"Expense"),""))</f>
        <v/>
      </c>
      <c r="N340" s="33"/>
      <c r="O340" s="26" t="str">
        <f t="shared" si="5"/>
        <v/>
      </c>
      <c r="P340" s="33"/>
    </row>
    <row r="341" ht="15.0" customHeight="1">
      <c r="A341" s="29" t="str">
        <f t="shared" si="1"/>
        <v/>
      </c>
      <c r="B341" s="16"/>
      <c r="C341" s="16"/>
      <c r="D341" s="16"/>
      <c r="E341" s="17"/>
      <c r="F341" s="40"/>
      <c r="G341" s="16"/>
      <c r="H341" s="16"/>
      <c r="I341" s="17">
        <f>IF($A341="",0,SUMIFS('Daily Transactions'!$F$6:$F$500,'Daily Transactions'!$I$6:$I$500,$O341,'Daily Transactions'!$C$6:$C$500,"Expense"))</f>
        <v>0</v>
      </c>
      <c r="J341" s="17" t="str">
        <f t="shared" si="2"/>
        <v/>
      </c>
      <c r="K341" s="29" t="str">
        <f t="shared" si="3"/>
        <v/>
      </c>
      <c r="L341" s="29" t="str">
        <f t="shared" si="4"/>
        <v/>
      </c>
      <c r="M341" s="49" t="str">
        <f>IF($A341="","",IF(I341&gt;=E341,MAXIFS('Daily Transactions'!$A$6:$A$500,'Daily Transactions'!$I$6:$I$500,$O341,'Daily Transactions'!$C$6:$C$500,"Expense"),""))</f>
        <v/>
      </c>
      <c r="N341" s="16"/>
      <c r="O341" s="26" t="str">
        <f t="shared" si="5"/>
        <v/>
      </c>
      <c r="P341" s="16"/>
    </row>
    <row r="342" ht="15.0" customHeight="1">
      <c r="A342" s="60" t="str">
        <f t="shared" si="1"/>
        <v/>
      </c>
      <c r="B342" s="33"/>
      <c r="C342" s="33"/>
      <c r="D342" s="33"/>
      <c r="E342" s="61"/>
      <c r="F342" s="32"/>
      <c r="G342" s="33"/>
      <c r="H342" s="33"/>
      <c r="I342" s="61">
        <f>IF($A342="",0,SUMIFS('Daily Transactions'!$F$6:$F$500,'Daily Transactions'!$I$6:$I$500,$O342,'Daily Transactions'!$C$6:$C$500,"Expense"))</f>
        <v>0</v>
      </c>
      <c r="J342" s="61" t="str">
        <f t="shared" si="2"/>
        <v/>
      </c>
      <c r="K342" s="60" t="str">
        <f t="shared" si="3"/>
        <v/>
      </c>
      <c r="L342" s="60" t="str">
        <f t="shared" si="4"/>
        <v/>
      </c>
      <c r="M342" s="56" t="str">
        <f>IF($A342="","",IF(I342&gt;=E342,MAXIFS('Daily Transactions'!$A$6:$A$500,'Daily Transactions'!$I$6:$I$500,$O342,'Daily Transactions'!$C$6:$C$500,"Expense"),""))</f>
        <v/>
      </c>
      <c r="N342" s="33"/>
      <c r="O342" s="26" t="str">
        <f t="shared" si="5"/>
        <v/>
      </c>
      <c r="P342" s="33"/>
    </row>
    <row r="343" ht="15.0" customHeight="1">
      <c r="A343" s="29" t="str">
        <f t="shared" si="1"/>
        <v/>
      </c>
      <c r="B343" s="16"/>
      <c r="C343" s="16"/>
      <c r="D343" s="16"/>
      <c r="E343" s="17"/>
      <c r="F343" s="40"/>
      <c r="G343" s="16"/>
      <c r="H343" s="16"/>
      <c r="I343" s="17">
        <f>IF($A343="",0,SUMIFS('Daily Transactions'!$F$6:$F$500,'Daily Transactions'!$I$6:$I$500,$O343,'Daily Transactions'!$C$6:$C$500,"Expense"))</f>
        <v>0</v>
      </c>
      <c r="J343" s="17" t="str">
        <f t="shared" si="2"/>
        <v/>
      </c>
      <c r="K343" s="29" t="str">
        <f t="shared" si="3"/>
        <v/>
      </c>
      <c r="L343" s="29" t="str">
        <f t="shared" si="4"/>
        <v/>
      </c>
      <c r="M343" s="49" t="str">
        <f>IF($A343="","",IF(I343&gt;=E343,MAXIFS('Daily Transactions'!$A$6:$A$500,'Daily Transactions'!$I$6:$I$500,$O343,'Daily Transactions'!$C$6:$C$500,"Expense"),""))</f>
        <v/>
      </c>
      <c r="N343" s="16"/>
      <c r="O343" s="26" t="str">
        <f t="shared" si="5"/>
        <v/>
      </c>
      <c r="P343" s="16"/>
    </row>
    <row r="344" ht="15.0" customHeight="1">
      <c r="A344" s="60" t="str">
        <f t="shared" si="1"/>
        <v/>
      </c>
      <c r="B344" s="33"/>
      <c r="C344" s="33"/>
      <c r="D344" s="33"/>
      <c r="E344" s="61"/>
      <c r="F344" s="32"/>
      <c r="G344" s="33"/>
      <c r="H344" s="33"/>
      <c r="I344" s="61">
        <f>IF($A344="",0,SUMIFS('Daily Transactions'!$F$6:$F$500,'Daily Transactions'!$I$6:$I$500,$O344,'Daily Transactions'!$C$6:$C$500,"Expense"))</f>
        <v>0</v>
      </c>
      <c r="J344" s="61" t="str">
        <f t="shared" si="2"/>
        <v/>
      </c>
      <c r="K344" s="60" t="str">
        <f t="shared" si="3"/>
        <v/>
      </c>
      <c r="L344" s="60" t="str">
        <f t="shared" si="4"/>
        <v/>
      </c>
      <c r="M344" s="56" t="str">
        <f>IF($A344="","",IF(I344&gt;=E344,MAXIFS('Daily Transactions'!$A$6:$A$500,'Daily Transactions'!$I$6:$I$500,$O344,'Daily Transactions'!$C$6:$C$500,"Expense"),""))</f>
        <v/>
      </c>
      <c r="N344" s="33"/>
      <c r="O344" s="26" t="str">
        <f t="shared" si="5"/>
        <v/>
      </c>
      <c r="P344" s="33"/>
    </row>
    <row r="345" ht="15.0" customHeight="1">
      <c r="A345" s="29" t="str">
        <f t="shared" si="1"/>
        <v/>
      </c>
      <c r="B345" s="16"/>
      <c r="C345" s="16"/>
      <c r="D345" s="16"/>
      <c r="E345" s="17"/>
      <c r="F345" s="40"/>
      <c r="G345" s="16"/>
      <c r="H345" s="16"/>
      <c r="I345" s="17">
        <f>IF($A345="",0,SUMIFS('Daily Transactions'!$F$6:$F$500,'Daily Transactions'!$I$6:$I$500,$O345,'Daily Transactions'!$C$6:$C$500,"Expense"))</f>
        <v>0</v>
      </c>
      <c r="J345" s="17" t="str">
        <f t="shared" si="2"/>
        <v/>
      </c>
      <c r="K345" s="29" t="str">
        <f t="shared" si="3"/>
        <v/>
      </c>
      <c r="L345" s="29" t="str">
        <f t="shared" si="4"/>
        <v/>
      </c>
      <c r="M345" s="49" t="str">
        <f>IF($A345="","",IF(I345&gt;=E345,MAXIFS('Daily Transactions'!$A$6:$A$500,'Daily Transactions'!$I$6:$I$500,$O345,'Daily Transactions'!$C$6:$C$500,"Expense"),""))</f>
        <v/>
      </c>
      <c r="N345" s="16"/>
      <c r="O345" s="26" t="str">
        <f t="shared" si="5"/>
        <v/>
      </c>
      <c r="P345" s="16"/>
    </row>
    <row r="346" ht="15.0" customHeight="1">
      <c r="A346" s="60" t="str">
        <f t="shared" si="1"/>
        <v/>
      </c>
      <c r="B346" s="33"/>
      <c r="C346" s="33"/>
      <c r="D346" s="33"/>
      <c r="E346" s="61"/>
      <c r="F346" s="32"/>
      <c r="G346" s="33"/>
      <c r="H346" s="33"/>
      <c r="I346" s="61">
        <f>IF($A346="",0,SUMIFS('Daily Transactions'!$F$6:$F$500,'Daily Transactions'!$I$6:$I$500,$O346,'Daily Transactions'!$C$6:$C$500,"Expense"))</f>
        <v>0</v>
      </c>
      <c r="J346" s="61" t="str">
        <f t="shared" si="2"/>
        <v/>
      </c>
      <c r="K346" s="60" t="str">
        <f t="shared" si="3"/>
        <v/>
      </c>
      <c r="L346" s="60" t="str">
        <f t="shared" si="4"/>
        <v/>
      </c>
      <c r="M346" s="56" t="str">
        <f>IF($A346="","",IF(I346&gt;=E346,MAXIFS('Daily Transactions'!$A$6:$A$500,'Daily Transactions'!$I$6:$I$500,$O346,'Daily Transactions'!$C$6:$C$500,"Expense"),""))</f>
        <v/>
      </c>
      <c r="N346" s="33"/>
      <c r="O346" s="26" t="str">
        <f t="shared" si="5"/>
        <v/>
      </c>
      <c r="P346" s="33"/>
    </row>
    <row r="347" ht="15.0" customHeight="1">
      <c r="A347" s="29" t="str">
        <f t="shared" si="1"/>
        <v/>
      </c>
      <c r="B347" s="16"/>
      <c r="C347" s="16"/>
      <c r="D347" s="16"/>
      <c r="E347" s="17"/>
      <c r="F347" s="40"/>
      <c r="G347" s="16"/>
      <c r="H347" s="16"/>
      <c r="I347" s="17">
        <f>IF($A347="",0,SUMIFS('Daily Transactions'!$F$6:$F$500,'Daily Transactions'!$I$6:$I$500,$O347,'Daily Transactions'!$C$6:$C$500,"Expense"))</f>
        <v>0</v>
      </c>
      <c r="J347" s="17" t="str">
        <f t="shared" si="2"/>
        <v/>
      </c>
      <c r="K347" s="29" t="str">
        <f t="shared" si="3"/>
        <v/>
      </c>
      <c r="L347" s="29" t="str">
        <f t="shared" si="4"/>
        <v/>
      </c>
      <c r="M347" s="49" t="str">
        <f>IF($A347="","",IF(I347&gt;=E347,MAXIFS('Daily Transactions'!$A$6:$A$500,'Daily Transactions'!$I$6:$I$500,$O347,'Daily Transactions'!$C$6:$C$500,"Expense"),""))</f>
        <v/>
      </c>
      <c r="N347" s="16"/>
      <c r="O347" s="26" t="str">
        <f t="shared" si="5"/>
        <v/>
      </c>
      <c r="P347" s="16"/>
    </row>
    <row r="348" ht="15.0" customHeight="1">
      <c r="A348" s="60" t="str">
        <f t="shared" si="1"/>
        <v/>
      </c>
      <c r="B348" s="33"/>
      <c r="C348" s="33"/>
      <c r="D348" s="33"/>
      <c r="E348" s="61"/>
      <c r="F348" s="32"/>
      <c r="G348" s="33"/>
      <c r="H348" s="33"/>
      <c r="I348" s="61">
        <f>IF($A348="",0,SUMIFS('Daily Transactions'!$F$6:$F$500,'Daily Transactions'!$I$6:$I$500,$O348,'Daily Transactions'!$C$6:$C$500,"Expense"))</f>
        <v>0</v>
      </c>
      <c r="J348" s="61" t="str">
        <f t="shared" si="2"/>
        <v/>
      </c>
      <c r="K348" s="60" t="str">
        <f t="shared" si="3"/>
        <v/>
      </c>
      <c r="L348" s="60" t="str">
        <f t="shared" si="4"/>
        <v/>
      </c>
      <c r="M348" s="56" t="str">
        <f>IF($A348="","",IF(I348&gt;=E348,MAXIFS('Daily Transactions'!$A$6:$A$500,'Daily Transactions'!$I$6:$I$500,$O348,'Daily Transactions'!$C$6:$C$500,"Expense"),""))</f>
        <v/>
      </c>
      <c r="N348" s="33"/>
      <c r="O348" s="26" t="str">
        <f t="shared" si="5"/>
        <v/>
      </c>
      <c r="P348" s="33"/>
    </row>
    <row r="349" ht="15.0" customHeight="1">
      <c r="A349" s="29" t="str">
        <f t="shared" si="1"/>
        <v/>
      </c>
      <c r="B349" s="16"/>
      <c r="C349" s="16"/>
      <c r="D349" s="16"/>
      <c r="E349" s="17"/>
      <c r="F349" s="40"/>
      <c r="G349" s="16"/>
      <c r="H349" s="16"/>
      <c r="I349" s="17">
        <f>IF($A349="",0,SUMIFS('Daily Transactions'!$F$6:$F$500,'Daily Transactions'!$I$6:$I$500,$O349,'Daily Transactions'!$C$6:$C$500,"Expense"))</f>
        <v>0</v>
      </c>
      <c r="J349" s="17" t="str">
        <f t="shared" si="2"/>
        <v/>
      </c>
      <c r="K349" s="29" t="str">
        <f t="shared" si="3"/>
        <v/>
      </c>
      <c r="L349" s="29" t="str">
        <f t="shared" si="4"/>
        <v/>
      </c>
      <c r="M349" s="49" t="str">
        <f>IF($A349="","",IF(I349&gt;=E349,MAXIFS('Daily Transactions'!$A$6:$A$500,'Daily Transactions'!$I$6:$I$500,$O349,'Daily Transactions'!$C$6:$C$500,"Expense"),""))</f>
        <v/>
      </c>
      <c r="N349" s="16"/>
      <c r="O349" s="26" t="str">
        <f t="shared" si="5"/>
        <v/>
      </c>
      <c r="P349" s="16"/>
    </row>
    <row r="350" ht="15.0" customHeight="1">
      <c r="A350" s="60" t="str">
        <f t="shared" si="1"/>
        <v/>
      </c>
      <c r="B350" s="33"/>
      <c r="C350" s="33"/>
      <c r="D350" s="33"/>
      <c r="E350" s="61"/>
      <c r="F350" s="32"/>
      <c r="G350" s="33"/>
      <c r="H350" s="33"/>
      <c r="I350" s="61">
        <f>IF($A350="",0,SUMIFS('Daily Transactions'!$F$6:$F$500,'Daily Transactions'!$I$6:$I$500,$O350,'Daily Transactions'!$C$6:$C$500,"Expense"))</f>
        <v>0</v>
      </c>
      <c r="J350" s="61" t="str">
        <f t="shared" si="2"/>
        <v/>
      </c>
      <c r="K350" s="60" t="str">
        <f t="shared" si="3"/>
        <v/>
      </c>
      <c r="L350" s="60" t="str">
        <f t="shared" si="4"/>
        <v/>
      </c>
      <c r="M350" s="56" t="str">
        <f>IF($A350="","",IF(I350&gt;=E350,MAXIFS('Daily Transactions'!$A$6:$A$500,'Daily Transactions'!$I$6:$I$500,$O350,'Daily Transactions'!$C$6:$C$500,"Expense"),""))</f>
        <v/>
      </c>
      <c r="N350" s="33"/>
      <c r="O350" s="26" t="str">
        <f t="shared" si="5"/>
        <v/>
      </c>
      <c r="P350" s="33"/>
    </row>
    <row r="351" ht="15.0" customHeight="1">
      <c r="A351" s="29" t="str">
        <f t="shared" si="1"/>
        <v/>
      </c>
      <c r="B351" s="16"/>
      <c r="C351" s="16"/>
      <c r="D351" s="16"/>
      <c r="E351" s="17"/>
      <c r="F351" s="40"/>
      <c r="G351" s="16"/>
      <c r="H351" s="16"/>
      <c r="I351" s="17">
        <f>IF($A351="",0,SUMIFS('Daily Transactions'!$F$6:$F$500,'Daily Transactions'!$I$6:$I$500,$O351,'Daily Transactions'!$C$6:$C$500,"Expense"))</f>
        <v>0</v>
      </c>
      <c r="J351" s="17" t="str">
        <f t="shared" si="2"/>
        <v/>
      </c>
      <c r="K351" s="29" t="str">
        <f t="shared" si="3"/>
        <v/>
      </c>
      <c r="L351" s="29" t="str">
        <f t="shared" si="4"/>
        <v/>
      </c>
      <c r="M351" s="49" t="str">
        <f>IF($A351="","",IF(I351&gt;=E351,MAXIFS('Daily Transactions'!$A$6:$A$500,'Daily Transactions'!$I$6:$I$500,$O351,'Daily Transactions'!$C$6:$C$500,"Expense"),""))</f>
        <v/>
      </c>
      <c r="N351" s="16"/>
      <c r="O351" s="26" t="str">
        <f t="shared" si="5"/>
        <v/>
      </c>
      <c r="P351" s="16"/>
    </row>
    <row r="352" ht="15.0" customHeight="1">
      <c r="A352" s="60" t="str">
        <f t="shared" si="1"/>
        <v/>
      </c>
      <c r="B352" s="33"/>
      <c r="C352" s="33"/>
      <c r="D352" s="33"/>
      <c r="E352" s="61"/>
      <c r="F352" s="32"/>
      <c r="G352" s="33"/>
      <c r="H352" s="33"/>
      <c r="I352" s="61">
        <f>IF($A352="",0,SUMIFS('Daily Transactions'!$F$6:$F$500,'Daily Transactions'!$I$6:$I$500,$O352,'Daily Transactions'!$C$6:$C$500,"Expense"))</f>
        <v>0</v>
      </c>
      <c r="J352" s="61" t="str">
        <f t="shared" si="2"/>
        <v/>
      </c>
      <c r="K352" s="60" t="str">
        <f t="shared" si="3"/>
        <v/>
      </c>
      <c r="L352" s="60" t="str">
        <f t="shared" si="4"/>
        <v/>
      </c>
      <c r="M352" s="56" t="str">
        <f>IF($A352="","",IF(I352&gt;=E352,MAXIFS('Daily Transactions'!$A$6:$A$500,'Daily Transactions'!$I$6:$I$500,$O352,'Daily Transactions'!$C$6:$C$500,"Expense"),""))</f>
        <v/>
      </c>
      <c r="N352" s="33"/>
      <c r="O352" s="26" t="str">
        <f t="shared" si="5"/>
        <v/>
      </c>
      <c r="P352" s="33"/>
    </row>
    <row r="353" ht="15.0" customHeight="1">
      <c r="A353" s="29" t="str">
        <f t="shared" si="1"/>
        <v/>
      </c>
      <c r="B353" s="16"/>
      <c r="C353" s="16"/>
      <c r="D353" s="16"/>
      <c r="E353" s="17"/>
      <c r="F353" s="40"/>
      <c r="G353" s="16"/>
      <c r="H353" s="16"/>
      <c r="I353" s="17">
        <f>IF($A353="",0,SUMIFS('Daily Transactions'!$F$6:$F$500,'Daily Transactions'!$I$6:$I$500,$O353,'Daily Transactions'!$C$6:$C$500,"Expense"))</f>
        <v>0</v>
      </c>
      <c r="J353" s="17" t="str">
        <f t="shared" si="2"/>
        <v/>
      </c>
      <c r="K353" s="29" t="str">
        <f t="shared" si="3"/>
        <v/>
      </c>
      <c r="L353" s="29" t="str">
        <f t="shared" si="4"/>
        <v/>
      </c>
      <c r="M353" s="49" t="str">
        <f>IF($A353="","",IF(I353&gt;=E353,MAXIFS('Daily Transactions'!$A$6:$A$500,'Daily Transactions'!$I$6:$I$500,$O353,'Daily Transactions'!$C$6:$C$500,"Expense"),""))</f>
        <v/>
      </c>
      <c r="N353" s="16"/>
      <c r="O353" s="26" t="str">
        <f t="shared" si="5"/>
        <v/>
      </c>
      <c r="P353" s="16"/>
    </row>
    <row r="354" ht="15.0" customHeight="1">
      <c r="A354" s="60" t="str">
        <f t="shared" si="1"/>
        <v/>
      </c>
      <c r="B354" s="33"/>
      <c r="C354" s="33"/>
      <c r="D354" s="33"/>
      <c r="E354" s="61"/>
      <c r="F354" s="32"/>
      <c r="G354" s="33"/>
      <c r="H354" s="33"/>
      <c r="I354" s="61">
        <f>IF($A354="",0,SUMIFS('Daily Transactions'!$F$6:$F$500,'Daily Transactions'!$I$6:$I$500,$O354,'Daily Transactions'!$C$6:$C$500,"Expense"))</f>
        <v>0</v>
      </c>
      <c r="J354" s="61" t="str">
        <f t="shared" si="2"/>
        <v/>
      </c>
      <c r="K354" s="60" t="str">
        <f t="shared" si="3"/>
        <v/>
      </c>
      <c r="L354" s="60" t="str">
        <f t="shared" si="4"/>
        <v/>
      </c>
      <c r="M354" s="56" t="str">
        <f>IF($A354="","",IF(I354&gt;=E354,MAXIFS('Daily Transactions'!$A$6:$A$500,'Daily Transactions'!$I$6:$I$500,$O354,'Daily Transactions'!$C$6:$C$500,"Expense"),""))</f>
        <v/>
      </c>
      <c r="N354" s="33"/>
      <c r="O354" s="26" t="str">
        <f t="shared" si="5"/>
        <v/>
      </c>
      <c r="P354" s="33"/>
    </row>
    <row r="355" ht="15.0" customHeight="1">
      <c r="A355" s="29" t="str">
        <f t="shared" si="1"/>
        <v/>
      </c>
      <c r="B355" s="16"/>
      <c r="C355" s="16"/>
      <c r="D355" s="16"/>
      <c r="E355" s="17"/>
      <c r="F355" s="40"/>
      <c r="G355" s="16"/>
      <c r="H355" s="16"/>
      <c r="I355" s="17">
        <f>IF($A355="",0,SUMIFS('Daily Transactions'!$F$6:$F$500,'Daily Transactions'!$I$6:$I$500,$O355,'Daily Transactions'!$C$6:$C$500,"Expense"))</f>
        <v>0</v>
      </c>
      <c r="J355" s="17" t="str">
        <f t="shared" si="2"/>
        <v/>
      </c>
      <c r="K355" s="29" t="str">
        <f t="shared" si="3"/>
        <v/>
      </c>
      <c r="L355" s="29" t="str">
        <f t="shared" si="4"/>
        <v/>
      </c>
      <c r="M355" s="49" t="str">
        <f>IF($A355="","",IF(I355&gt;=E355,MAXIFS('Daily Transactions'!$A$6:$A$500,'Daily Transactions'!$I$6:$I$500,$O355,'Daily Transactions'!$C$6:$C$500,"Expense"),""))</f>
        <v/>
      </c>
      <c r="N355" s="16"/>
      <c r="O355" s="26" t="str">
        <f t="shared" si="5"/>
        <v/>
      </c>
      <c r="P355" s="16"/>
    </row>
    <row r="356" ht="15.0" customHeight="1">
      <c r="A356" s="60" t="str">
        <f t="shared" si="1"/>
        <v/>
      </c>
      <c r="B356" s="33"/>
      <c r="C356" s="33"/>
      <c r="D356" s="33"/>
      <c r="E356" s="61"/>
      <c r="F356" s="32"/>
      <c r="G356" s="33"/>
      <c r="H356" s="33"/>
      <c r="I356" s="61">
        <f>IF($A356="",0,SUMIFS('Daily Transactions'!$F$6:$F$500,'Daily Transactions'!$I$6:$I$500,$O356,'Daily Transactions'!$C$6:$C$500,"Expense"))</f>
        <v>0</v>
      </c>
      <c r="J356" s="61" t="str">
        <f t="shared" si="2"/>
        <v/>
      </c>
      <c r="K356" s="60" t="str">
        <f t="shared" si="3"/>
        <v/>
      </c>
      <c r="L356" s="60" t="str">
        <f t="shared" si="4"/>
        <v/>
      </c>
      <c r="M356" s="56" t="str">
        <f>IF($A356="","",IF(I356&gt;=E356,MAXIFS('Daily Transactions'!$A$6:$A$500,'Daily Transactions'!$I$6:$I$500,$O356,'Daily Transactions'!$C$6:$C$500,"Expense"),""))</f>
        <v/>
      </c>
      <c r="N356" s="33"/>
      <c r="O356" s="26" t="str">
        <f t="shared" si="5"/>
        <v/>
      </c>
      <c r="P356" s="33"/>
    </row>
    <row r="357" ht="15.0" customHeight="1">
      <c r="A357" s="29" t="str">
        <f t="shared" si="1"/>
        <v/>
      </c>
      <c r="B357" s="16"/>
      <c r="C357" s="16"/>
      <c r="D357" s="16"/>
      <c r="E357" s="17"/>
      <c r="F357" s="40"/>
      <c r="G357" s="16"/>
      <c r="H357" s="16"/>
      <c r="I357" s="17">
        <f>IF($A357="",0,SUMIFS('Daily Transactions'!$F$6:$F$500,'Daily Transactions'!$I$6:$I$500,$O357,'Daily Transactions'!$C$6:$C$500,"Expense"))</f>
        <v>0</v>
      </c>
      <c r="J357" s="17" t="str">
        <f t="shared" si="2"/>
        <v/>
      </c>
      <c r="K357" s="29" t="str">
        <f t="shared" si="3"/>
        <v/>
      </c>
      <c r="L357" s="29" t="str">
        <f t="shared" si="4"/>
        <v/>
      </c>
      <c r="M357" s="49" t="str">
        <f>IF($A357="","",IF(I357&gt;=E357,MAXIFS('Daily Transactions'!$A$6:$A$500,'Daily Transactions'!$I$6:$I$500,$O357,'Daily Transactions'!$C$6:$C$500,"Expense"),""))</f>
        <v/>
      </c>
      <c r="N357" s="16"/>
      <c r="O357" s="26" t="str">
        <f t="shared" si="5"/>
        <v/>
      </c>
      <c r="P357" s="16"/>
    </row>
    <row r="358" ht="15.0" customHeight="1">
      <c r="A358" s="60" t="str">
        <f t="shared" si="1"/>
        <v/>
      </c>
      <c r="B358" s="33"/>
      <c r="C358" s="33"/>
      <c r="D358" s="33"/>
      <c r="E358" s="61"/>
      <c r="F358" s="32"/>
      <c r="G358" s="33"/>
      <c r="H358" s="33"/>
      <c r="I358" s="61">
        <f>IF($A358="",0,SUMIFS('Daily Transactions'!$F$6:$F$500,'Daily Transactions'!$I$6:$I$500,$O358,'Daily Transactions'!$C$6:$C$500,"Expense"))</f>
        <v>0</v>
      </c>
      <c r="J358" s="61" t="str">
        <f t="shared" si="2"/>
        <v/>
      </c>
      <c r="K358" s="60" t="str">
        <f t="shared" si="3"/>
        <v/>
      </c>
      <c r="L358" s="60" t="str">
        <f t="shared" si="4"/>
        <v/>
      </c>
      <c r="M358" s="56" t="str">
        <f>IF($A358="","",IF(I358&gt;=E358,MAXIFS('Daily Transactions'!$A$6:$A$500,'Daily Transactions'!$I$6:$I$500,$O358,'Daily Transactions'!$C$6:$C$500,"Expense"),""))</f>
        <v/>
      </c>
      <c r="N358" s="33"/>
      <c r="O358" s="26" t="str">
        <f t="shared" si="5"/>
        <v/>
      </c>
      <c r="P358" s="33"/>
    </row>
    <row r="359" ht="15.0" customHeight="1">
      <c r="A359" s="29" t="str">
        <f t="shared" si="1"/>
        <v/>
      </c>
      <c r="B359" s="16"/>
      <c r="C359" s="16"/>
      <c r="D359" s="16"/>
      <c r="E359" s="17"/>
      <c r="F359" s="40"/>
      <c r="G359" s="16"/>
      <c r="H359" s="16"/>
      <c r="I359" s="17">
        <f>IF($A359="",0,SUMIFS('Daily Transactions'!$F$6:$F$500,'Daily Transactions'!$I$6:$I$500,$O359,'Daily Transactions'!$C$6:$C$500,"Expense"))</f>
        <v>0</v>
      </c>
      <c r="J359" s="17" t="str">
        <f t="shared" si="2"/>
        <v/>
      </c>
      <c r="K359" s="29" t="str">
        <f t="shared" si="3"/>
        <v/>
      </c>
      <c r="L359" s="29" t="str">
        <f t="shared" si="4"/>
        <v/>
      </c>
      <c r="M359" s="49" t="str">
        <f>IF($A359="","",IF(I359&gt;=E359,MAXIFS('Daily Transactions'!$A$6:$A$500,'Daily Transactions'!$I$6:$I$500,$O359,'Daily Transactions'!$C$6:$C$500,"Expense"),""))</f>
        <v/>
      </c>
      <c r="N359" s="16"/>
      <c r="O359" s="26" t="str">
        <f t="shared" si="5"/>
        <v/>
      </c>
      <c r="P359" s="16"/>
    </row>
    <row r="360" ht="15.0" customHeight="1">
      <c r="A360" s="60" t="str">
        <f t="shared" si="1"/>
        <v/>
      </c>
      <c r="B360" s="33"/>
      <c r="C360" s="33"/>
      <c r="D360" s="33"/>
      <c r="E360" s="61"/>
      <c r="F360" s="32"/>
      <c r="G360" s="33"/>
      <c r="H360" s="33"/>
      <c r="I360" s="61">
        <f>IF($A360="",0,SUMIFS('Daily Transactions'!$F$6:$F$500,'Daily Transactions'!$I$6:$I$500,$O360,'Daily Transactions'!$C$6:$C$500,"Expense"))</f>
        <v>0</v>
      </c>
      <c r="J360" s="61" t="str">
        <f t="shared" si="2"/>
        <v/>
      </c>
      <c r="K360" s="60" t="str">
        <f t="shared" si="3"/>
        <v/>
      </c>
      <c r="L360" s="60" t="str">
        <f t="shared" si="4"/>
        <v/>
      </c>
      <c r="M360" s="56" t="str">
        <f>IF($A360="","",IF(I360&gt;=E360,MAXIFS('Daily Transactions'!$A$6:$A$500,'Daily Transactions'!$I$6:$I$500,$O360,'Daily Transactions'!$C$6:$C$500,"Expense"),""))</f>
        <v/>
      </c>
      <c r="N360" s="33"/>
      <c r="O360" s="26" t="str">
        <f t="shared" si="5"/>
        <v/>
      </c>
      <c r="P360" s="33"/>
    </row>
    <row r="361" ht="15.0" customHeight="1">
      <c r="A361" s="29" t="str">
        <f t="shared" si="1"/>
        <v/>
      </c>
      <c r="B361" s="16"/>
      <c r="C361" s="16"/>
      <c r="D361" s="16"/>
      <c r="E361" s="17"/>
      <c r="F361" s="40"/>
      <c r="G361" s="16"/>
      <c r="H361" s="16"/>
      <c r="I361" s="17">
        <f>IF($A361="",0,SUMIFS('Daily Transactions'!$F$6:$F$500,'Daily Transactions'!$I$6:$I$500,$O361,'Daily Transactions'!$C$6:$C$500,"Expense"))</f>
        <v>0</v>
      </c>
      <c r="J361" s="17" t="str">
        <f t="shared" si="2"/>
        <v/>
      </c>
      <c r="K361" s="29" t="str">
        <f t="shared" si="3"/>
        <v/>
      </c>
      <c r="L361" s="29" t="str">
        <f t="shared" si="4"/>
        <v/>
      </c>
      <c r="M361" s="49" t="str">
        <f>IF($A361="","",IF(I361&gt;=E361,MAXIFS('Daily Transactions'!$A$6:$A$500,'Daily Transactions'!$I$6:$I$500,$O361,'Daily Transactions'!$C$6:$C$500,"Expense"),""))</f>
        <v/>
      </c>
      <c r="N361" s="16"/>
      <c r="O361" s="26" t="str">
        <f t="shared" si="5"/>
        <v/>
      </c>
      <c r="P361" s="16"/>
    </row>
    <row r="362" ht="15.0" customHeight="1">
      <c r="A362" s="60" t="str">
        <f t="shared" si="1"/>
        <v/>
      </c>
      <c r="B362" s="33"/>
      <c r="C362" s="33"/>
      <c r="D362" s="33"/>
      <c r="E362" s="61"/>
      <c r="F362" s="32"/>
      <c r="G362" s="33"/>
      <c r="H362" s="33"/>
      <c r="I362" s="61">
        <f>IF($A362="",0,SUMIFS('Daily Transactions'!$F$6:$F$500,'Daily Transactions'!$I$6:$I$500,$O362,'Daily Transactions'!$C$6:$C$500,"Expense"))</f>
        <v>0</v>
      </c>
      <c r="J362" s="61" t="str">
        <f t="shared" si="2"/>
        <v/>
      </c>
      <c r="K362" s="60" t="str">
        <f t="shared" si="3"/>
        <v/>
      </c>
      <c r="L362" s="60" t="str">
        <f t="shared" si="4"/>
        <v/>
      </c>
      <c r="M362" s="56" t="str">
        <f>IF($A362="","",IF(I362&gt;=E362,MAXIFS('Daily Transactions'!$A$6:$A$500,'Daily Transactions'!$I$6:$I$500,$O362,'Daily Transactions'!$C$6:$C$500,"Expense"),""))</f>
        <v/>
      </c>
      <c r="N362" s="33"/>
      <c r="O362" s="26" t="str">
        <f t="shared" si="5"/>
        <v/>
      </c>
      <c r="P362" s="33"/>
    </row>
    <row r="363" ht="15.0" customHeight="1">
      <c r="A363" s="29" t="str">
        <f t="shared" si="1"/>
        <v/>
      </c>
      <c r="B363" s="16"/>
      <c r="C363" s="16"/>
      <c r="D363" s="16"/>
      <c r="E363" s="17"/>
      <c r="F363" s="40"/>
      <c r="G363" s="16"/>
      <c r="H363" s="16"/>
      <c r="I363" s="17">
        <f>IF($A363="",0,SUMIFS('Daily Transactions'!$F$6:$F$500,'Daily Transactions'!$I$6:$I$500,$O363,'Daily Transactions'!$C$6:$C$500,"Expense"))</f>
        <v>0</v>
      </c>
      <c r="J363" s="17" t="str">
        <f t="shared" si="2"/>
        <v/>
      </c>
      <c r="K363" s="29" t="str">
        <f t="shared" si="3"/>
        <v/>
      </c>
      <c r="L363" s="29" t="str">
        <f t="shared" si="4"/>
        <v/>
      </c>
      <c r="M363" s="49" t="str">
        <f>IF($A363="","",IF(I363&gt;=E363,MAXIFS('Daily Transactions'!$A$6:$A$500,'Daily Transactions'!$I$6:$I$500,$O363,'Daily Transactions'!$C$6:$C$500,"Expense"),""))</f>
        <v/>
      </c>
      <c r="N363" s="16"/>
      <c r="O363" s="26" t="str">
        <f t="shared" si="5"/>
        <v/>
      </c>
      <c r="P363" s="16"/>
    </row>
    <row r="364" ht="15.0" customHeight="1">
      <c r="A364" s="60" t="str">
        <f t="shared" si="1"/>
        <v/>
      </c>
      <c r="B364" s="33"/>
      <c r="C364" s="33"/>
      <c r="D364" s="33"/>
      <c r="E364" s="61"/>
      <c r="F364" s="32"/>
      <c r="G364" s="33"/>
      <c r="H364" s="33"/>
      <c r="I364" s="61">
        <f>IF($A364="",0,SUMIFS('Daily Transactions'!$F$6:$F$500,'Daily Transactions'!$I$6:$I$500,$O364,'Daily Transactions'!$C$6:$C$500,"Expense"))</f>
        <v>0</v>
      </c>
      <c r="J364" s="61" t="str">
        <f t="shared" si="2"/>
        <v/>
      </c>
      <c r="K364" s="60" t="str">
        <f t="shared" si="3"/>
        <v/>
      </c>
      <c r="L364" s="60" t="str">
        <f t="shared" si="4"/>
        <v/>
      </c>
      <c r="M364" s="56" t="str">
        <f>IF($A364="","",IF(I364&gt;=E364,MAXIFS('Daily Transactions'!$A$6:$A$500,'Daily Transactions'!$I$6:$I$500,$O364,'Daily Transactions'!$C$6:$C$500,"Expense"),""))</f>
        <v/>
      </c>
      <c r="N364" s="33"/>
      <c r="O364" s="26" t="str">
        <f t="shared" si="5"/>
        <v/>
      </c>
      <c r="P364" s="33"/>
    </row>
    <row r="365" ht="15.0" customHeight="1">
      <c r="A365" s="29" t="str">
        <f t="shared" si="1"/>
        <v/>
      </c>
      <c r="B365" s="16"/>
      <c r="C365" s="16"/>
      <c r="D365" s="16"/>
      <c r="E365" s="17"/>
      <c r="F365" s="40"/>
      <c r="G365" s="16"/>
      <c r="H365" s="16"/>
      <c r="I365" s="17">
        <f>IF($A365="",0,SUMIFS('Daily Transactions'!$F$6:$F$500,'Daily Transactions'!$I$6:$I$500,$O365,'Daily Transactions'!$C$6:$C$500,"Expense"))</f>
        <v>0</v>
      </c>
      <c r="J365" s="17" t="str">
        <f t="shared" si="2"/>
        <v/>
      </c>
      <c r="K365" s="29" t="str">
        <f t="shared" si="3"/>
        <v/>
      </c>
      <c r="L365" s="29" t="str">
        <f t="shared" si="4"/>
        <v/>
      </c>
      <c r="M365" s="49" t="str">
        <f>IF($A365="","",IF(I365&gt;=E365,MAXIFS('Daily Transactions'!$A$6:$A$500,'Daily Transactions'!$I$6:$I$500,$O365,'Daily Transactions'!$C$6:$C$500,"Expense"),""))</f>
        <v/>
      </c>
      <c r="N365" s="16"/>
      <c r="O365" s="26" t="str">
        <f t="shared" si="5"/>
        <v/>
      </c>
      <c r="P365" s="16"/>
    </row>
    <row r="366" ht="15.0" customHeight="1">
      <c r="A366" s="60" t="str">
        <f t="shared" si="1"/>
        <v/>
      </c>
      <c r="B366" s="33"/>
      <c r="C366" s="33"/>
      <c r="D366" s="33"/>
      <c r="E366" s="61"/>
      <c r="F366" s="32"/>
      <c r="G366" s="33"/>
      <c r="H366" s="33"/>
      <c r="I366" s="61">
        <f>IF($A366="",0,SUMIFS('Daily Transactions'!$F$6:$F$500,'Daily Transactions'!$I$6:$I$500,$O366,'Daily Transactions'!$C$6:$C$500,"Expense"))</f>
        <v>0</v>
      </c>
      <c r="J366" s="61" t="str">
        <f t="shared" si="2"/>
        <v/>
      </c>
      <c r="K366" s="60" t="str">
        <f t="shared" si="3"/>
        <v/>
      </c>
      <c r="L366" s="60" t="str">
        <f t="shared" si="4"/>
        <v/>
      </c>
      <c r="M366" s="56" t="str">
        <f>IF($A366="","",IF(I366&gt;=E366,MAXIFS('Daily Transactions'!$A$6:$A$500,'Daily Transactions'!$I$6:$I$500,$O366,'Daily Transactions'!$C$6:$C$500,"Expense"),""))</f>
        <v/>
      </c>
      <c r="N366" s="33"/>
      <c r="O366" s="26" t="str">
        <f t="shared" si="5"/>
        <v/>
      </c>
      <c r="P366" s="33"/>
    </row>
    <row r="367" ht="15.0" customHeight="1">
      <c r="A367" s="29" t="str">
        <f t="shared" si="1"/>
        <v/>
      </c>
      <c r="B367" s="16"/>
      <c r="C367" s="16"/>
      <c r="D367" s="16"/>
      <c r="E367" s="17"/>
      <c r="F367" s="40"/>
      <c r="G367" s="16"/>
      <c r="H367" s="16"/>
      <c r="I367" s="17">
        <f>IF($A367="",0,SUMIFS('Daily Transactions'!$F$6:$F$500,'Daily Transactions'!$I$6:$I$500,$O367,'Daily Transactions'!$C$6:$C$500,"Expense"))</f>
        <v>0</v>
      </c>
      <c r="J367" s="17" t="str">
        <f t="shared" si="2"/>
        <v/>
      </c>
      <c r="K367" s="29" t="str">
        <f t="shared" si="3"/>
        <v/>
      </c>
      <c r="L367" s="29" t="str">
        <f t="shared" si="4"/>
        <v/>
      </c>
      <c r="M367" s="49" t="str">
        <f>IF($A367="","",IF(I367&gt;=E367,MAXIFS('Daily Transactions'!$A$6:$A$500,'Daily Transactions'!$I$6:$I$500,$O367,'Daily Transactions'!$C$6:$C$500,"Expense"),""))</f>
        <v/>
      </c>
      <c r="N367" s="16"/>
      <c r="O367" s="26" t="str">
        <f t="shared" si="5"/>
        <v/>
      </c>
      <c r="P367" s="16"/>
    </row>
    <row r="368" ht="15.0" customHeight="1">
      <c r="A368" s="60" t="str">
        <f t="shared" si="1"/>
        <v/>
      </c>
      <c r="B368" s="33"/>
      <c r="C368" s="33"/>
      <c r="D368" s="33"/>
      <c r="E368" s="61"/>
      <c r="F368" s="32"/>
      <c r="G368" s="33"/>
      <c r="H368" s="33"/>
      <c r="I368" s="61">
        <f>IF($A368="",0,SUMIFS('Daily Transactions'!$F$6:$F$500,'Daily Transactions'!$I$6:$I$500,$O368,'Daily Transactions'!$C$6:$C$500,"Expense"))</f>
        <v>0</v>
      </c>
      <c r="J368" s="61" t="str">
        <f t="shared" si="2"/>
        <v/>
      </c>
      <c r="K368" s="60" t="str">
        <f t="shared" si="3"/>
        <v/>
      </c>
      <c r="L368" s="60" t="str">
        <f t="shared" si="4"/>
        <v/>
      </c>
      <c r="M368" s="56" t="str">
        <f>IF($A368="","",IF(I368&gt;=E368,MAXIFS('Daily Transactions'!$A$6:$A$500,'Daily Transactions'!$I$6:$I$500,$O368,'Daily Transactions'!$C$6:$C$500,"Expense"),""))</f>
        <v/>
      </c>
      <c r="N368" s="33"/>
      <c r="O368" s="26" t="str">
        <f t="shared" si="5"/>
        <v/>
      </c>
      <c r="P368" s="33"/>
    </row>
    <row r="369" ht="15.0" customHeight="1">
      <c r="A369" s="29" t="str">
        <f t="shared" si="1"/>
        <v/>
      </c>
      <c r="B369" s="16"/>
      <c r="C369" s="16"/>
      <c r="D369" s="16"/>
      <c r="E369" s="17"/>
      <c r="F369" s="40"/>
      <c r="G369" s="16"/>
      <c r="H369" s="16"/>
      <c r="I369" s="17">
        <f>IF($A369="",0,SUMIFS('Daily Transactions'!$F$6:$F$500,'Daily Transactions'!$I$6:$I$500,$O369,'Daily Transactions'!$C$6:$C$500,"Expense"))</f>
        <v>0</v>
      </c>
      <c r="J369" s="17" t="str">
        <f t="shared" si="2"/>
        <v/>
      </c>
      <c r="K369" s="29" t="str">
        <f t="shared" si="3"/>
        <v/>
      </c>
      <c r="L369" s="29" t="str">
        <f t="shared" si="4"/>
        <v/>
      </c>
      <c r="M369" s="49" t="str">
        <f>IF($A369="","",IF(I369&gt;=E369,MAXIFS('Daily Transactions'!$A$6:$A$500,'Daily Transactions'!$I$6:$I$500,$O369,'Daily Transactions'!$C$6:$C$500,"Expense"),""))</f>
        <v/>
      </c>
      <c r="N369" s="16"/>
      <c r="O369" s="26" t="str">
        <f t="shared" si="5"/>
        <v/>
      </c>
      <c r="P369" s="16"/>
    </row>
    <row r="370" ht="15.0" customHeight="1">
      <c r="A370" s="60" t="str">
        <f t="shared" si="1"/>
        <v/>
      </c>
      <c r="B370" s="33"/>
      <c r="C370" s="33"/>
      <c r="D370" s="33"/>
      <c r="E370" s="61"/>
      <c r="F370" s="32"/>
      <c r="G370" s="33"/>
      <c r="H370" s="33"/>
      <c r="I370" s="61">
        <f>IF($A370="",0,SUMIFS('Daily Transactions'!$F$6:$F$500,'Daily Transactions'!$I$6:$I$500,$O370,'Daily Transactions'!$C$6:$C$500,"Expense"))</f>
        <v>0</v>
      </c>
      <c r="J370" s="61" t="str">
        <f t="shared" si="2"/>
        <v/>
      </c>
      <c r="K370" s="60" t="str">
        <f t="shared" si="3"/>
        <v/>
      </c>
      <c r="L370" s="60" t="str">
        <f t="shared" si="4"/>
        <v/>
      </c>
      <c r="M370" s="56" t="str">
        <f>IF($A370="","",IF(I370&gt;=E370,MAXIFS('Daily Transactions'!$A$6:$A$500,'Daily Transactions'!$I$6:$I$500,$O370,'Daily Transactions'!$C$6:$C$500,"Expense"),""))</f>
        <v/>
      </c>
      <c r="N370" s="33"/>
      <c r="O370" s="26" t="str">
        <f t="shared" si="5"/>
        <v/>
      </c>
      <c r="P370" s="33"/>
    </row>
    <row r="371" ht="15.0" customHeight="1">
      <c r="A371" s="29" t="str">
        <f t="shared" si="1"/>
        <v/>
      </c>
      <c r="B371" s="16"/>
      <c r="C371" s="16"/>
      <c r="D371" s="16"/>
      <c r="E371" s="17"/>
      <c r="F371" s="40"/>
      <c r="G371" s="16"/>
      <c r="H371" s="16"/>
      <c r="I371" s="17">
        <f>IF($A371="",0,SUMIFS('Daily Transactions'!$F$6:$F$500,'Daily Transactions'!$I$6:$I$500,$O371,'Daily Transactions'!$C$6:$C$500,"Expense"))</f>
        <v>0</v>
      </c>
      <c r="J371" s="17" t="str">
        <f t="shared" si="2"/>
        <v/>
      </c>
      <c r="K371" s="29" t="str">
        <f t="shared" si="3"/>
        <v/>
      </c>
      <c r="L371" s="29" t="str">
        <f t="shared" si="4"/>
        <v/>
      </c>
      <c r="M371" s="49" t="str">
        <f>IF($A371="","",IF(I371&gt;=E371,MAXIFS('Daily Transactions'!$A$6:$A$500,'Daily Transactions'!$I$6:$I$500,$O371,'Daily Transactions'!$C$6:$C$500,"Expense"),""))</f>
        <v/>
      </c>
      <c r="N371" s="16"/>
      <c r="O371" s="26" t="str">
        <f t="shared" si="5"/>
        <v/>
      </c>
      <c r="P371" s="16"/>
    </row>
    <row r="372" ht="15.0" customHeight="1">
      <c r="A372" s="60" t="str">
        <f t="shared" si="1"/>
        <v/>
      </c>
      <c r="B372" s="33"/>
      <c r="C372" s="33"/>
      <c r="D372" s="33"/>
      <c r="E372" s="61"/>
      <c r="F372" s="32"/>
      <c r="G372" s="33"/>
      <c r="H372" s="33"/>
      <c r="I372" s="61">
        <f>IF($A372="",0,SUMIFS('Daily Transactions'!$F$6:$F$500,'Daily Transactions'!$I$6:$I$500,$O372,'Daily Transactions'!$C$6:$C$500,"Expense"))</f>
        <v>0</v>
      </c>
      <c r="J372" s="61" t="str">
        <f t="shared" si="2"/>
        <v/>
      </c>
      <c r="K372" s="60" t="str">
        <f t="shared" si="3"/>
        <v/>
      </c>
      <c r="L372" s="60" t="str">
        <f t="shared" si="4"/>
        <v/>
      </c>
      <c r="M372" s="56" t="str">
        <f>IF($A372="","",IF(I372&gt;=E372,MAXIFS('Daily Transactions'!$A$6:$A$500,'Daily Transactions'!$I$6:$I$500,$O372,'Daily Transactions'!$C$6:$C$500,"Expense"),""))</f>
        <v/>
      </c>
      <c r="N372" s="33"/>
      <c r="O372" s="26" t="str">
        <f t="shared" si="5"/>
        <v/>
      </c>
      <c r="P372" s="33"/>
    </row>
    <row r="373" ht="15.0" customHeight="1">
      <c r="A373" s="29" t="str">
        <f t="shared" si="1"/>
        <v/>
      </c>
      <c r="B373" s="16"/>
      <c r="C373" s="16"/>
      <c r="D373" s="16"/>
      <c r="E373" s="17"/>
      <c r="F373" s="40"/>
      <c r="G373" s="16"/>
      <c r="H373" s="16"/>
      <c r="I373" s="17">
        <f>IF($A373="",0,SUMIFS('Daily Transactions'!$F$6:$F$500,'Daily Transactions'!$I$6:$I$500,$O373,'Daily Transactions'!$C$6:$C$500,"Expense"))</f>
        <v>0</v>
      </c>
      <c r="J373" s="17" t="str">
        <f t="shared" si="2"/>
        <v/>
      </c>
      <c r="K373" s="29" t="str">
        <f t="shared" si="3"/>
        <v/>
      </c>
      <c r="L373" s="29" t="str">
        <f t="shared" si="4"/>
        <v/>
      </c>
      <c r="M373" s="49" t="str">
        <f>IF($A373="","",IF(I373&gt;=E373,MAXIFS('Daily Transactions'!$A$6:$A$500,'Daily Transactions'!$I$6:$I$500,$O373,'Daily Transactions'!$C$6:$C$500,"Expense"),""))</f>
        <v/>
      </c>
      <c r="N373" s="16"/>
      <c r="O373" s="26" t="str">
        <f t="shared" si="5"/>
        <v/>
      </c>
      <c r="P373" s="16"/>
    </row>
    <row r="374" ht="15.0" customHeight="1">
      <c r="A374" s="60" t="str">
        <f t="shared" si="1"/>
        <v/>
      </c>
      <c r="B374" s="33"/>
      <c r="C374" s="33"/>
      <c r="D374" s="33"/>
      <c r="E374" s="61"/>
      <c r="F374" s="32"/>
      <c r="G374" s="33"/>
      <c r="H374" s="33"/>
      <c r="I374" s="61">
        <f>IF($A374="",0,SUMIFS('Daily Transactions'!$F$6:$F$500,'Daily Transactions'!$I$6:$I$500,$O374,'Daily Transactions'!$C$6:$C$500,"Expense"))</f>
        <v>0</v>
      </c>
      <c r="J374" s="61" t="str">
        <f t="shared" si="2"/>
        <v/>
      </c>
      <c r="K374" s="60" t="str">
        <f t="shared" si="3"/>
        <v/>
      </c>
      <c r="L374" s="60" t="str">
        <f t="shared" si="4"/>
        <v/>
      </c>
      <c r="M374" s="56" t="str">
        <f>IF($A374="","",IF(I374&gt;=E374,MAXIFS('Daily Transactions'!$A$6:$A$500,'Daily Transactions'!$I$6:$I$500,$O374,'Daily Transactions'!$C$6:$C$500,"Expense"),""))</f>
        <v/>
      </c>
      <c r="N374" s="33"/>
      <c r="O374" s="26" t="str">
        <f t="shared" si="5"/>
        <v/>
      </c>
      <c r="P374" s="33"/>
    </row>
    <row r="375" ht="15.0" customHeight="1">
      <c r="A375" s="29" t="str">
        <f t="shared" si="1"/>
        <v/>
      </c>
      <c r="B375" s="16"/>
      <c r="C375" s="16"/>
      <c r="D375" s="16"/>
      <c r="E375" s="17"/>
      <c r="F375" s="40"/>
      <c r="G375" s="16"/>
      <c r="H375" s="16"/>
      <c r="I375" s="17">
        <f>IF($A375="",0,SUMIFS('Daily Transactions'!$F$6:$F$500,'Daily Transactions'!$I$6:$I$500,$O375,'Daily Transactions'!$C$6:$C$500,"Expense"))</f>
        <v>0</v>
      </c>
      <c r="J375" s="17" t="str">
        <f t="shared" si="2"/>
        <v/>
      </c>
      <c r="K375" s="29" t="str">
        <f t="shared" si="3"/>
        <v/>
      </c>
      <c r="L375" s="29" t="str">
        <f t="shared" si="4"/>
        <v/>
      </c>
      <c r="M375" s="49" t="str">
        <f>IF($A375="","",IF(I375&gt;=E375,MAXIFS('Daily Transactions'!$A$6:$A$500,'Daily Transactions'!$I$6:$I$500,$O375,'Daily Transactions'!$C$6:$C$500,"Expense"),""))</f>
        <v/>
      </c>
      <c r="N375" s="16"/>
      <c r="O375" s="26" t="str">
        <f t="shared" si="5"/>
        <v/>
      </c>
      <c r="P375" s="16"/>
    </row>
    <row r="376" ht="15.0" customHeight="1">
      <c r="A376" s="60" t="str">
        <f t="shared" si="1"/>
        <v/>
      </c>
      <c r="B376" s="33"/>
      <c r="C376" s="33"/>
      <c r="D376" s="33"/>
      <c r="E376" s="61"/>
      <c r="F376" s="32"/>
      <c r="G376" s="33"/>
      <c r="H376" s="33"/>
      <c r="I376" s="61">
        <f>IF($A376="",0,SUMIFS('Daily Transactions'!$F$6:$F$500,'Daily Transactions'!$I$6:$I$500,$O376,'Daily Transactions'!$C$6:$C$500,"Expense"))</f>
        <v>0</v>
      </c>
      <c r="J376" s="61" t="str">
        <f t="shared" si="2"/>
        <v/>
      </c>
      <c r="K376" s="60" t="str">
        <f t="shared" si="3"/>
        <v/>
      </c>
      <c r="L376" s="60" t="str">
        <f t="shared" si="4"/>
        <v/>
      </c>
      <c r="M376" s="56" t="str">
        <f>IF($A376="","",IF(I376&gt;=E376,MAXIFS('Daily Transactions'!$A$6:$A$500,'Daily Transactions'!$I$6:$I$500,$O376,'Daily Transactions'!$C$6:$C$500,"Expense"),""))</f>
        <v/>
      </c>
      <c r="N376" s="33"/>
      <c r="O376" s="26" t="str">
        <f t="shared" si="5"/>
        <v/>
      </c>
      <c r="P376" s="33"/>
    </row>
    <row r="377" ht="15.0" customHeight="1">
      <c r="A377" s="29" t="str">
        <f t="shared" si="1"/>
        <v/>
      </c>
      <c r="B377" s="16"/>
      <c r="C377" s="16"/>
      <c r="D377" s="16"/>
      <c r="E377" s="17"/>
      <c r="F377" s="40"/>
      <c r="G377" s="16"/>
      <c r="H377" s="16"/>
      <c r="I377" s="17">
        <f>IF($A377="",0,SUMIFS('Daily Transactions'!$F$6:$F$500,'Daily Transactions'!$I$6:$I$500,$O377,'Daily Transactions'!$C$6:$C$500,"Expense"))</f>
        <v>0</v>
      </c>
      <c r="J377" s="17" t="str">
        <f t="shared" si="2"/>
        <v/>
      </c>
      <c r="K377" s="29" t="str">
        <f t="shared" si="3"/>
        <v/>
      </c>
      <c r="L377" s="29" t="str">
        <f t="shared" si="4"/>
        <v/>
      </c>
      <c r="M377" s="49" t="str">
        <f>IF($A377="","",IF(I377&gt;=E377,MAXIFS('Daily Transactions'!$A$6:$A$500,'Daily Transactions'!$I$6:$I$500,$O377,'Daily Transactions'!$C$6:$C$500,"Expense"),""))</f>
        <v/>
      </c>
      <c r="N377" s="16"/>
      <c r="O377" s="26" t="str">
        <f t="shared" si="5"/>
        <v/>
      </c>
      <c r="P377" s="16"/>
    </row>
    <row r="378" ht="15.0" customHeight="1">
      <c r="A378" s="60" t="str">
        <f t="shared" si="1"/>
        <v/>
      </c>
      <c r="B378" s="33"/>
      <c r="C378" s="33"/>
      <c r="D378" s="33"/>
      <c r="E378" s="61"/>
      <c r="F378" s="32"/>
      <c r="G378" s="33"/>
      <c r="H378" s="33"/>
      <c r="I378" s="61">
        <f>IF($A378="",0,SUMIFS('Daily Transactions'!$F$6:$F$500,'Daily Transactions'!$I$6:$I$500,$O378,'Daily Transactions'!$C$6:$C$500,"Expense"))</f>
        <v>0</v>
      </c>
      <c r="J378" s="61" t="str">
        <f t="shared" si="2"/>
        <v/>
      </c>
      <c r="K378" s="60" t="str">
        <f t="shared" si="3"/>
        <v/>
      </c>
      <c r="L378" s="60" t="str">
        <f t="shared" si="4"/>
        <v/>
      </c>
      <c r="M378" s="56" t="str">
        <f>IF($A378="","",IF(I378&gt;=E378,MAXIFS('Daily Transactions'!$A$6:$A$500,'Daily Transactions'!$I$6:$I$500,$O378,'Daily Transactions'!$C$6:$C$500,"Expense"),""))</f>
        <v/>
      </c>
      <c r="N378" s="33"/>
      <c r="O378" s="26" t="str">
        <f t="shared" si="5"/>
        <v/>
      </c>
      <c r="P378" s="33"/>
    </row>
    <row r="379" ht="15.0" customHeight="1">
      <c r="A379" s="29" t="str">
        <f t="shared" si="1"/>
        <v/>
      </c>
      <c r="B379" s="16"/>
      <c r="C379" s="16"/>
      <c r="D379" s="16"/>
      <c r="E379" s="17"/>
      <c r="F379" s="40"/>
      <c r="G379" s="16"/>
      <c r="H379" s="16"/>
      <c r="I379" s="17">
        <f>IF($A379="",0,SUMIFS('Daily Transactions'!$F$6:$F$500,'Daily Transactions'!$I$6:$I$500,$O379,'Daily Transactions'!$C$6:$C$500,"Expense"))</f>
        <v>0</v>
      </c>
      <c r="J379" s="17" t="str">
        <f t="shared" si="2"/>
        <v/>
      </c>
      <c r="K379" s="29" t="str">
        <f t="shared" si="3"/>
        <v/>
      </c>
      <c r="L379" s="29" t="str">
        <f t="shared" si="4"/>
        <v/>
      </c>
      <c r="M379" s="49" t="str">
        <f>IF($A379="","",IF(I379&gt;=E379,MAXIFS('Daily Transactions'!$A$6:$A$500,'Daily Transactions'!$I$6:$I$500,$O379,'Daily Transactions'!$C$6:$C$500,"Expense"),""))</f>
        <v/>
      </c>
      <c r="N379" s="16"/>
      <c r="O379" s="26" t="str">
        <f t="shared" si="5"/>
        <v/>
      </c>
      <c r="P379" s="16"/>
    </row>
    <row r="380" ht="15.0" customHeight="1">
      <c r="A380" s="60" t="str">
        <f t="shared" si="1"/>
        <v/>
      </c>
      <c r="B380" s="33"/>
      <c r="C380" s="33"/>
      <c r="D380" s="33"/>
      <c r="E380" s="61"/>
      <c r="F380" s="32"/>
      <c r="G380" s="33"/>
      <c r="H380" s="33"/>
      <c r="I380" s="61">
        <f>IF($A380="",0,SUMIFS('Daily Transactions'!$F$6:$F$500,'Daily Transactions'!$I$6:$I$500,$O380,'Daily Transactions'!$C$6:$C$500,"Expense"))</f>
        <v>0</v>
      </c>
      <c r="J380" s="61" t="str">
        <f t="shared" si="2"/>
        <v/>
      </c>
      <c r="K380" s="60" t="str">
        <f t="shared" si="3"/>
        <v/>
      </c>
      <c r="L380" s="60" t="str">
        <f t="shared" si="4"/>
        <v/>
      </c>
      <c r="M380" s="56" t="str">
        <f>IF($A380="","",IF(I380&gt;=E380,MAXIFS('Daily Transactions'!$A$6:$A$500,'Daily Transactions'!$I$6:$I$500,$O380,'Daily Transactions'!$C$6:$C$500,"Expense"),""))</f>
        <v/>
      </c>
      <c r="N380" s="33"/>
      <c r="O380" s="26" t="str">
        <f t="shared" si="5"/>
        <v/>
      </c>
      <c r="P380" s="33"/>
    </row>
    <row r="381" ht="15.0" customHeight="1">
      <c r="A381" s="29" t="str">
        <f t="shared" si="1"/>
        <v/>
      </c>
      <c r="B381" s="16"/>
      <c r="C381" s="16"/>
      <c r="D381" s="16"/>
      <c r="E381" s="17"/>
      <c r="F381" s="40"/>
      <c r="G381" s="16"/>
      <c r="H381" s="16"/>
      <c r="I381" s="17">
        <f>IF($A381="",0,SUMIFS('Daily Transactions'!$F$6:$F$500,'Daily Transactions'!$I$6:$I$500,$O381,'Daily Transactions'!$C$6:$C$500,"Expense"))</f>
        <v>0</v>
      </c>
      <c r="J381" s="17" t="str">
        <f t="shared" si="2"/>
        <v/>
      </c>
      <c r="K381" s="29" t="str">
        <f t="shared" si="3"/>
        <v/>
      </c>
      <c r="L381" s="29" t="str">
        <f t="shared" si="4"/>
        <v/>
      </c>
      <c r="M381" s="49" t="str">
        <f>IF($A381="","",IF(I381&gt;=E381,MAXIFS('Daily Transactions'!$A$6:$A$500,'Daily Transactions'!$I$6:$I$500,$O381,'Daily Transactions'!$C$6:$C$500,"Expense"),""))</f>
        <v/>
      </c>
      <c r="N381" s="16"/>
      <c r="O381" s="26" t="str">
        <f t="shared" si="5"/>
        <v/>
      </c>
      <c r="P381" s="16"/>
    </row>
    <row r="382" ht="15.0" customHeight="1">
      <c r="A382" s="60" t="str">
        <f t="shared" si="1"/>
        <v/>
      </c>
      <c r="B382" s="33"/>
      <c r="C382" s="33"/>
      <c r="D382" s="33"/>
      <c r="E382" s="61"/>
      <c r="F382" s="32"/>
      <c r="G382" s="33"/>
      <c r="H382" s="33"/>
      <c r="I382" s="61">
        <f>IF($A382="",0,SUMIFS('Daily Transactions'!$F$6:$F$500,'Daily Transactions'!$I$6:$I$500,$O382,'Daily Transactions'!$C$6:$C$500,"Expense"))</f>
        <v>0</v>
      </c>
      <c r="J382" s="61" t="str">
        <f t="shared" si="2"/>
        <v/>
      </c>
      <c r="K382" s="60" t="str">
        <f t="shared" si="3"/>
        <v/>
      </c>
      <c r="L382" s="60" t="str">
        <f t="shared" si="4"/>
        <v/>
      </c>
      <c r="M382" s="56" t="str">
        <f>IF($A382="","",IF(I382&gt;=E382,MAXIFS('Daily Transactions'!$A$6:$A$500,'Daily Transactions'!$I$6:$I$500,$O382,'Daily Transactions'!$C$6:$C$500,"Expense"),""))</f>
        <v/>
      </c>
      <c r="N382" s="33"/>
      <c r="O382" s="26" t="str">
        <f t="shared" si="5"/>
        <v/>
      </c>
      <c r="P382" s="33"/>
    </row>
    <row r="383" ht="15.0" customHeight="1">
      <c r="A383" s="29" t="str">
        <f t="shared" si="1"/>
        <v/>
      </c>
      <c r="B383" s="16"/>
      <c r="C383" s="16"/>
      <c r="D383" s="16"/>
      <c r="E383" s="17"/>
      <c r="F383" s="40"/>
      <c r="G383" s="16"/>
      <c r="H383" s="16"/>
      <c r="I383" s="17">
        <f>IF($A383="",0,SUMIFS('Daily Transactions'!$F$6:$F$500,'Daily Transactions'!$I$6:$I$500,$O383,'Daily Transactions'!$C$6:$C$500,"Expense"))</f>
        <v>0</v>
      </c>
      <c r="J383" s="17" t="str">
        <f t="shared" si="2"/>
        <v/>
      </c>
      <c r="K383" s="29" t="str">
        <f t="shared" si="3"/>
        <v/>
      </c>
      <c r="L383" s="29" t="str">
        <f t="shared" si="4"/>
        <v/>
      </c>
      <c r="M383" s="49" t="str">
        <f>IF($A383="","",IF(I383&gt;=E383,MAXIFS('Daily Transactions'!$A$6:$A$500,'Daily Transactions'!$I$6:$I$500,$O383,'Daily Transactions'!$C$6:$C$500,"Expense"),""))</f>
        <v/>
      </c>
      <c r="N383" s="16"/>
      <c r="O383" s="26" t="str">
        <f t="shared" si="5"/>
        <v/>
      </c>
      <c r="P383" s="16"/>
    </row>
    <row r="384" ht="15.0" customHeight="1">
      <c r="A384" s="60" t="str">
        <f t="shared" si="1"/>
        <v/>
      </c>
      <c r="B384" s="33"/>
      <c r="C384" s="33"/>
      <c r="D384" s="33"/>
      <c r="E384" s="61"/>
      <c r="F384" s="32"/>
      <c r="G384" s="33"/>
      <c r="H384" s="33"/>
      <c r="I384" s="61">
        <f>IF($A384="",0,SUMIFS('Daily Transactions'!$F$6:$F$500,'Daily Transactions'!$I$6:$I$500,$O384,'Daily Transactions'!$C$6:$C$500,"Expense"))</f>
        <v>0</v>
      </c>
      <c r="J384" s="61" t="str">
        <f t="shared" si="2"/>
        <v/>
      </c>
      <c r="K384" s="60" t="str">
        <f t="shared" si="3"/>
        <v/>
      </c>
      <c r="L384" s="60" t="str">
        <f t="shared" si="4"/>
        <v/>
      </c>
      <c r="M384" s="56" t="str">
        <f>IF($A384="","",IF(I384&gt;=E384,MAXIFS('Daily Transactions'!$A$6:$A$500,'Daily Transactions'!$I$6:$I$500,$O384,'Daily Transactions'!$C$6:$C$500,"Expense"),""))</f>
        <v/>
      </c>
      <c r="N384" s="33"/>
      <c r="O384" s="26" t="str">
        <f t="shared" si="5"/>
        <v/>
      </c>
      <c r="P384" s="33"/>
    </row>
    <row r="385" ht="15.0" customHeight="1">
      <c r="A385" s="29" t="str">
        <f t="shared" si="1"/>
        <v/>
      </c>
      <c r="B385" s="16"/>
      <c r="C385" s="16"/>
      <c r="D385" s="16"/>
      <c r="E385" s="17"/>
      <c r="F385" s="40"/>
      <c r="G385" s="16"/>
      <c r="H385" s="16"/>
      <c r="I385" s="17">
        <f>IF($A385="",0,SUMIFS('Daily Transactions'!$F$6:$F$500,'Daily Transactions'!$I$6:$I$500,$O385,'Daily Transactions'!$C$6:$C$500,"Expense"))</f>
        <v>0</v>
      </c>
      <c r="J385" s="17" t="str">
        <f t="shared" si="2"/>
        <v/>
      </c>
      <c r="K385" s="29" t="str">
        <f t="shared" si="3"/>
        <v/>
      </c>
      <c r="L385" s="29" t="str">
        <f t="shared" si="4"/>
        <v/>
      </c>
      <c r="M385" s="49" t="str">
        <f>IF($A385="","",IF(I385&gt;=E385,MAXIFS('Daily Transactions'!$A$6:$A$500,'Daily Transactions'!$I$6:$I$500,$O385,'Daily Transactions'!$C$6:$C$500,"Expense"),""))</f>
        <v/>
      </c>
      <c r="N385" s="16"/>
      <c r="O385" s="26" t="str">
        <f t="shared" si="5"/>
        <v/>
      </c>
      <c r="P385" s="16"/>
    </row>
    <row r="386" ht="15.0" customHeight="1">
      <c r="A386" s="60" t="str">
        <f t="shared" si="1"/>
        <v/>
      </c>
      <c r="B386" s="33"/>
      <c r="C386" s="33"/>
      <c r="D386" s="33"/>
      <c r="E386" s="61"/>
      <c r="F386" s="32"/>
      <c r="G386" s="33"/>
      <c r="H386" s="33"/>
      <c r="I386" s="61">
        <f>IF($A386="",0,SUMIFS('Daily Transactions'!$F$6:$F$500,'Daily Transactions'!$I$6:$I$500,$O386,'Daily Transactions'!$C$6:$C$500,"Expense"))</f>
        <v>0</v>
      </c>
      <c r="J386" s="61" t="str">
        <f t="shared" si="2"/>
        <v/>
      </c>
      <c r="K386" s="60" t="str">
        <f t="shared" si="3"/>
        <v/>
      </c>
      <c r="L386" s="60" t="str">
        <f t="shared" si="4"/>
        <v/>
      </c>
      <c r="M386" s="56" t="str">
        <f>IF($A386="","",IF(I386&gt;=E386,MAXIFS('Daily Transactions'!$A$6:$A$500,'Daily Transactions'!$I$6:$I$500,$O386,'Daily Transactions'!$C$6:$C$500,"Expense"),""))</f>
        <v/>
      </c>
      <c r="N386" s="33"/>
      <c r="O386" s="26" t="str">
        <f t="shared" si="5"/>
        <v/>
      </c>
      <c r="P386" s="33"/>
    </row>
    <row r="387" ht="15.0" customHeight="1">
      <c r="A387" s="29" t="str">
        <f t="shared" si="1"/>
        <v/>
      </c>
      <c r="B387" s="16"/>
      <c r="C387" s="16"/>
      <c r="D387" s="16"/>
      <c r="E387" s="17"/>
      <c r="F387" s="40"/>
      <c r="G387" s="16"/>
      <c r="H387" s="16"/>
      <c r="I387" s="17">
        <f>IF($A387="",0,SUMIFS('Daily Transactions'!$F$6:$F$500,'Daily Transactions'!$I$6:$I$500,$O387,'Daily Transactions'!$C$6:$C$500,"Expense"))</f>
        <v>0</v>
      </c>
      <c r="J387" s="17" t="str">
        <f t="shared" si="2"/>
        <v/>
      </c>
      <c r="K387" s="29" t="str">
        <f t="shared" si="3"/>
        <v/>
      </c>
      <c r="L387" s="29" t="str">
        <f t="shared" si="4"/>
        <v/>
      </c>
      <c r="M387" s="49" t="str">
        <f>IF($A387="","",IF(I387&gt;=E387,MAXIFS('Daily Transactions'!$A$6:$A$500,'Daily Transactions'!$I$6:$I$500,$O387,'Daily Transactions'!$C$6:$C$500,"Expense"),""))</f>
        <v/>
      </c>
      <c r="N387" s="16"/>
      <c r="O387" s="26" t="str">
        <f t="shared" si="5"/>
        <v/>
      </c>
      <c r="P387" s="16"/>
    </row>
    <row r="388" ht="15.0" customHeight="1">
      <c r="A388" s="60" t="str">
        <f t="shared" si="1"/>
        <v/>
      </c>
      <c r="B388" s="33"/>
      <c r="C388" s="33"/>
      <c r="D388" s="33"/>
      <c r="E388" s="61"/>
      <c r="F388" s="32"/>
      <c r="G388" s="33"/>
      <c r="H388" s="33"/>
      <c r="I388" s="61">
        <f>IF($A388="",0,SUMIFS('Daily Transactions'!$F$6:$F$500,'Daily Transactions'!$I$6:$I$500,$O388,'Daily Transactions'!$C$6:$C$500,"Expense"))</f>
        <v>0</v>
      </c>
      <c r="J388" s="61" t="str">
        <f t="shared" si="2"/>
        <v/>
      </c>
      <c r="K388" s="60" t="str">
        <f t="shared" si="3"/>
        <v/>
      </c>
      <c r="L388" s="60" t="str">
        <f t="shared" si="4"/>
        <v/>
      </c>
      <c r="M388" s="56" t="str">
        <f>IF($A388="","",IF(I388&gt;=E388,MAXIFS('Daily Transactions'!$A$6:$A$500,'Daily Transactions'!$I$6:$I$500,$O388,'Daily Transactions'!$C$6:$C$500,"Expense"),""))</f>
        <v/>
      </c>
      <c r="N388" s="33"/>
      <c r="O388" s="26" t="str">
        <f t="shared" si="5"/>
        <v/>
      </c>
      <c r="P388" s="33"/>
    </row>
    <row r="389" ht="15.0" customHeight="1">
      <c r="A389" s="29" t="str">
        <f t="shared" si="1"/>
        <v/>
      </c>
      <c r="B389" s="16"/>
      <c r="C389" s="16"/>
      <c r="D389" s="16"/>
      <c r="E389" s="17"/>
      <c r="F389" s="40"/>
      <c r="G389" s="16"/>
      <c r="H389" s="16"/>
      <c r="I389" s="17">
        <f>IF($A389="",0,SUMIFS('Daily Transactions'!$F$6:$F$500,'Daily Transactions'!$I$6:$I$500,$O389,'Daily Transactions'!$C$6:$C$500,"Expense"))</f>
        <v>0</v>
      </c>
      <c r="J389" s="17" t="str">
        <f t="shared" si="2"/>
        <v/>
      </c>
      <c r="K389" s="29" t="str">
        <f t="shared" si="3"/>
        <v/>
      </c>
      <c r="L389" s="29" t="str">
        <f t="shared" si="4"/>
        <v/>
      </c>
      <c r="M389" s="49" t="str">
        <f>IF($A389="","",IF(I389&gt;=E389,MAXIFS('Daily Transactions'!$A$6:$A$500,'Daily Transactions'!$I$6:$I$500,$O389,'Daily Transactions'!$C$6:$C$500,"Expense"),""))</f>
        <v/>
      </c>
      <c r="N389" s="16"/>
      <c r="O389" s="26" t="str">
        <f t="shared" si="5"/>
        <v/>
      </c>
      <c r="P389" s="16"/>
    </row>
    <row r="390" ht="15.0" customHeight="1">
      <c r="A390" s="60" t="str">
        <f t="shared" si="1"/>
        <v/>
      </c>
      <c r="B390" s="33"/>
      <c r="C390" s="33"/>
      <c r="D390" s="33"/>
      <c r="E390" s="61"/>
      <c r="F390" s="32"/>
      <c r="G390" s="33"/>
      <c r="H390" s="33"/>
      <c r="I390" s="61">
        <f>IF($A390="",0,SUMIFS('Daily Transactions'!$F$6:$F$500,'Daily Transactions'!$I$6:$I$500,$O390,'Daily Transactions'!$C$6:$C$500,"Expense"))</f>
        <v>0</v>
      </c>
      <c r="J390" s="61" t="str">
        <f t="shared" si="2"/>
        <v/>
      </c>
      <c r="K390" s="60" t="str">
        <f t="shared" si="3"/>
        <v/>
      </c>
      <c r="L390" s="60" t="str">
        <f t="shared" si="4"/>
        <v/>
      </c>
      <c r="M390" s="56" t="str">
        <f>IF($A390="","",IF(I390&gt;=E390,MAXIFS('Daily Transactions'!$A$6:$A$500,'Daily Transactions'!$I$6:$I$500,$O390,'Daily Transactions'!$C$6:$C$500,"Expense"),""))</f>
        <v/>
      </c>
      <c r="N390" s="33"/>
      <c r="O390" s="26" t="str">
        <f t="shared" si="5"/>
        <v/>
      </c>
      <c r="P390" s="33"/>
    </row>
    <row r="391" ht="15.0" customHeight="1">
      <c r="A391" s="29" t="str">
        <f t="shared" si="1"/>
        <v/>
      </c>
      <c r="B391" s="16"/>
      <c r="C391" s="16"/>
      <c r="D391" s="16"/>
      <c r="E391" s="17"/>
      <c r="F391" s="40"/>
      <c r="G391" s="16"/>
      <c r="H391" s="16"/>
      <c r="I391" s="17">
        <f>IF($A391="",0,SUMIFS('Daily Transactions'!$F$6:$F$500,'Daily Transactions'!$I$6:$I$500,$O391,'Daily Transactions'!$C$6:$C$500,"Expense"))</f>
        <v>0</v>
      </c>
      <c r="J391" s="17" t="str">
        <f t="shared" si="2"/>
        <v/>
      </c>
      <c r="K391" s="29" t="str">
        <f t="shared" si="3"/>
        <v/>
      </c>
      <c r="L391" s="29" t="str">
        <f t="shared" si="4"/>
        <v/>
      </c>
      <c r="M391" s="49" t="str">
        <f>IF($A391="","",IF(I391&gt;=E391,MAXIFS('Daily Transactions'!$A$6:$A$500,'Daily Transactions'!$I$6:$I$500,$O391,'Daily Transactions'!$C$6:$C$500,"Expense"),""))</f>
        <v/>
      </c>
      <c r="N391" s="16"/>
      <c r="O391" s="26" t="str">
        <f t="shared" si="5"/>
        <v/>
      </c>
      <c r="P391" s="16"/>
    </row>
    <row r="392" ht="15.0" customHeight="1">
      <c r="A392" s="60" t="str">
        <f t="shared" si="1"/>
        <v/>
      </c>
      <c r="B392" s="33"/>
      <c r="C392" s="33"/>
      <c r="D392" s="33"/>
      <c r="E392" s="61"/>
      <c r="F392" s="32"/>
      <c r="G392" s="33"/>
      <c r="H392" s="33"/>
      <c r="I392" s="61">
        <f>IF($A392="",0,SUMIFS('Daily Transactions'!$F$6:$F$500,'Daily Transactions'!$I$6:$I$500,$O392,'Daily Transactions'!$C$6:$C$500,"Expense"))</f>
        <v>0</v>
      </c>
      <c r="J392" s="61" t="str">
        <f t="shared" si="2"/>
        <v/>
      </c>
      <c r="K392" s="60" t="str">
        <f t="shared" si="3"/>
        <v/>
      </c>
      <c r="L392" s="60" t="str">
        <f t="shared" si="4"/>
        <v/>
      </c>
      <c r="M392" s="56" t="str">
        <f>IF($A392="","",IF(I392&gt;=E392,MAXIFS('Daily Transactions'!$A$6:$A$500,'Daily Transactions'!$I$6:$I$500,$O392,'Daily Transactions'!$C$6:$C$500,"Expense"),""))</f>
        <v/>
      </c>
      <c r="N392" s="33"/>
      <c r="O392" s="26" t="str">
        <f t="shared" si="5"/>
        <v/>
      </c>
      <c r="P392" s="33"/>
    </row>
    <row r="393" ht="15.0" customHeight="1">
      <c r="A393" s="29" t="str">
        <f t="shared" si="1"/>
        <v/>
      </c>
      <c r="B393" s="16"/>
      <c r="C393" s="16"/>
      <c r="D393" s="16"/>
      <c r="E393" s="17"/>
      <c r="F393" s="40"/>
      <c r="G393" s="16"/>
      <c r="H393" s="16"/>
      <c r="I393" s="17">
        <f>IF($A393="",0,SUMIFS('Daily Transactions'!$F$6:$F$500,'Daily Transactions'!$I$6:$I$500,$O393,'Daily Transactions'!$C$6:$C$500,"Expense"))</f>
        <v>0</v>
      </c>
      <c r="J393" s="17" t="str">
        <f t="shared" si="2"/>
        <v/>
      </c>
      <c r="K393" s="29" t="str">
        <f t="shared" si="3"/>
        <v/>
      </c>
      <c r="L393" s="29" t="str">
        <f t="shared" si="4"/>
        <v/>
      </c>
      <c r="M393" s="49" t="str">
        <f>IF($A393="","",IF(I393&gt;=E393,MAXIFS('Daily Transactions'!$A$6:$A$500,'Daily Transactions'!$I$6:$I$500,$O393,'Daily Transactions'!$C$6:$C$500,"Expense"),""))</f>
        <v/>
      </c>
      <c r="N393" s="16"/>
      <c r="O393" s="26" t="str">
        <f t="shared" si="5"/>
        <v/>
      </c>
      <c r="P393" s="16"/>
    </row>
    <row r="394" ht="15.0" customHeight="1">
      <c r="A394" s="60" t="str">
        <f t="shared" si="1"/>
        <v/>
      </c>
      <c r="B394" s="33"/>
      <c r="C394" s="33"/>
      <c r="D394" s="33"/>
      <c r="E394" s="61"/>
      <c r="F394" s="32"/>
      <c r="G394" s="33"/>
      <c r="H394" s="33"/>
      <c r="I394" s="61">
        <f>IF($A394="",0,SUMIFS('Daily Transactions'!$F$6:$F$500,'Daily Transactions'!$I$6:$I$500,$O394,'Daily Transactions'!$C$6:$C$500,"Expense"))</f>
        <v>0</v>
      </c>
      <c r="J394" s="61" t="str">
        <f t="shared" si="2"/>
        <v/>
      </c>
      <c r="K394" s="60" t="str">
        <f t="shared" si="3"/>
        <v/>
      </c>
      <c r="L394" s="60" t="str">
        <f t="shared" si="4"/>
        <v/>
      </c>
      <c r="M394" s="56" t="str">
        <f>IF($A394="","",IF(I394&gt;=E394,MAXIFS('Daily Transactions'!$A$6:$A$500,'Daily Transactions'!$I$6:$I$500,$O394,'Daily Transactions'!$C$6:$C$500,"Expense"),""))</f>
        <v/>
      </c>
      <c r="N394" s="33"/>
      <c r="O394" s="26" t="str">
        <f t="shared" si="5"/>
        <v/>
      </c>
      <c r="P394" s="33"/>
    </row>
    <row r="395" ht="15.0" customHeight="1">
      <c r="A395" s="29" t="str">
        <f t="shared" si="1"/>
        <v/>
      </c>
      <c r="B395" s="16"/>
      <c r="C395" s="16"/>
      <c r="D395" s="16"/>
      <c r="E395" s="17"/>
      <c r="F395" s="40"/>
      <c r="G395" s="16"/>
      <c r="H395" s="16"/>
      <c r="I395" s="17">
        <f>IF($A395="",0,SUMIFS('Daily Transactions'!$F$6:$F$500,'Daily Transactions'!$I$6:$I$500,$O395,'Daily Transactions'!$C$6:$C$500,"Expense"))</f>
        <v>0</v>
      </c>
      <c r="J395" s="17" t="str">
        <f t="shared" si="2"/>
        <v/>
      </c>
      <c r="K395" s="29" t="str">
        <f t="shared" si="3"/>
        <v/>
      </c>
      <c r="L395" s="29" t="str">
        <f t="shared" si="4"/>
        <v/>
      </c>
      <c r="M395" s="49" t="str">
        <f>IF($A395="","",IF(I395&gt;=E395,MAXIFS('Daily Transactions'!$A$6:$A$500,'Daily Transactions'!$I$6:$I$500,$O395,'Daily Transactions'!$C$6:$C$500,"Expense"),""))</f>
        <v/>
      </c>
      <c r="N395" s="16"/>
      <c r="O395" s="26" t="str">
        <f t="shared" si="5"/>
        <v/>
      </c>
      <c r="P395" s="16"/>
    </row>
    <row r="396" ht="15.0" customHeight="1">
      <c r="A396" s="60" t="str">
        <f t="shared" si="1"/>
        <v/>
      </c>
      <c r="B396" s="33"/>
      <c r="C396" s="33"/>
      <c r="D396" s="33"/>
      <c r="E396" s="61"/>
      <c r="F396" s="32"/>
      <c r="G396" s="33"/>
      <c r="H396" s="33"/>
      <c r="I396" s="61">
        <f>IF($A396="",0,SUMIFS('Daily Transactions'!$F$6:$F$500,'Daily Transactions'!$I$6:$I$500,$O396,'Daily Transactions'!$C$6:$C$500,"Expense"))</f>
        <v>0</v>
      </c>
      <c r="J396" s="61" t="str">
        <f t="shared" si="2"/>
        <v/>
      </c>
      <c r="K396" s="60" t="str">
        <f t="shared" si="3"/>
        <v/>
      </c>
      <c r="L396" s="60" t="str">
        <f t="shared" si="4"/>
        <v/>
      </c>
      <c r="M396" s="56" t="str">
        <f>IF($A396="","",IF(I396&gt;=E396,MAXIFS('Daily Transactions'!$A$6:$A$500,'Daily Transactions'!$I$6:$I$500,$O396,'Daily Transactions'!$C$6:$C$500,"Expense"),""))</f>
        <v/>
      </c>
      <c r="N396" s="33"/>
      <c r="O396" s="26" t="str">
        <f t="shared" si="5"/>
        <v/>
      </c>
      <c r="P396" s="33"/>
    </row>
    <row r="397" ht="15.0" customHeight="1">
      <c r="A397" s="29" t="str">
        <f t="shared" si="1"/>
        <v/>
      </c>
      <c r="B397" s="16"/>
      <c r="C397" s="16"/>
      <c r="D397" s="16"/>
      <c r="E397" s="17"/>
      <c r="F397" s="40"/>
      <c r="G397" s="16"/>
      <c r="H397" s="16"/>
      <c r="I397" s="17">
        <f>IF($A397="",0,SUMIFS('Daily Transactions'!$F$6:$F$500,'Daily Transactions'!$I$6:$I$500,$O397,'Daily Transactions'!$C$6:$C$500,"Expense"))</f>
        <v>0</v>
      </c>
      <c r="J397" s="17" t="str">
        <f t="shared" si="2"/>
        <v/>
      </c>
      <c r="K397" s="29" t="str">
        <f t="shared" si="3"/>
        <v/>
      </c>
      <c r="L397" s="29" t="str">
        <f t="shared" si="4"/>
        <v/>
      </c>
      <c r="M397" s="49" t="str">
        <f>IF($A397="","",IF(I397&gt;=E397,MAXIFS('Daily Transactions'!$A$6:$A$500,'Daily Transactions'!$I$6:$I$500,$O397,'Daily Transactions'!$C$6:$C$500,"Expense"),""))</f>
        <v/>
      </c>
      <c r="N397" s="16"/>
      <c r="O397" s="26" t="str">
        <f t="shared" si="5"/>
        <v/>
      </c>
      <c r="P397" s="16"/>
    </row>
    <row r="398" ht="15.0" customHeight="1">
      <c r="A398" s="60" t="str">
        <f t="shared" si="1"/>
        <v/>
      </c>
      <c r="B398" s="33"/>
      <c r="C398" s="33"/>
      <c r="D398" s="33"/>
      <c r="E398" s="61"/>
      <c r="F398" s="32"/>
      <c r="G398" s="33"/>
      <c r="H398" s="33"/>
      <c r="I398" s="61">
        <f>IF($A398="",0,SUMIFS('Daily Transactions'!$F$6:$F$500,'Daily Transactions'!$I$6:$I$500,$O398,'Daily Transactions'!$C$6:$C$500,"Expense"))</f>
        <v>0</v>
      </c>
      <c r="J398" s="61" t="str">
        <f t="shared" si="2"/>
        <v/>
      </c>
      <c r="K398" s="60" t="str">
        <f t="shared" si="3"/>
        <v/>
      </c>
      <c r="L398" s="60" t="str">
        <f t="shared" si="4"/>
        <v/>
      </c>
      <c r="M398" s="56" t="str">
        <f>IF($A398="","",IF(I398&gt;=E398,MAXIFS('Daily Transactions'!$A$6:$A$500,'Daily Transactions'!$I$6:$I$500,$O398,'Daily Transactions'!$C$6:$C$500,"Expense"),""))</f>
        <v/>
      </c>
      <c r="N398" s="33"/>
      <c r="O398" s="26" t="str">
        <f t="shared" si="5"/>
        <v/>
      </c>
      <c r="P398" s="33"/>
    </row>
    <row r="399" ht="15.0" customHeight="1">
      <c r="A399" s="29" t="str">
        <f t="shared" si="1"/>
        <v/>
      </c>
      <c r="B399" s="16"/>
      <c r="C399" s="16"/>
      <c r="D399" s="16"/>
      <c r="E399" s="17"/>
      <c r="F399" s="40"/>
      <c r="G399" s="16"/>
      <c r="H399" s="16"/>
      <c r="I399" s="17">
        <f>IF($A399="",0,SUMIFS('Daily Transactions'!$F$6:$F$500,'Daily Transactions'!$I$6:$I$500,$O399,'Daily Transactions'!$C$6:$C$500,"Expense"))</f>
        <v>0</v>
      </c>
      <c r="J399" s="17" t="str">
        <f t="shared" si="2"/>
        <v/>
      </c>
      <c r="K399" s="29" t="str">
        <f t="shared" si="3"/>
        <v/>
      </c>
      <c r="L399" s="29" t="str">
        <f t="shared" si="4"/>
        <v/>
      </c>
      <c r="M399" s="49" t="str">
        <f>IF($A399="","",IF(I399&gt;=E399,MAXIFS('Daily Transactions'!$A$6:$A$500,'Daily Transactions'!$I$6:$I$500,$O399,'Daily Transactions'!$C$6:$C$500,"Expense"),""))</f>
        <v/>
      </c>
      <c r="N399" s="16"/>
      <c r="O399" s="26" t="str">
        <f t="shared" si="5"/>
        <v/>
      </c>
      <c r="P399" s="16"/>
    </row>
    <row r="400" ht="15.0" customHeight="1">
      <c r="A400" s="60" t="str">
        <f t="shared" si="1"/>
        <v/>
      </c>
      <c r="B400" s="33"/>
      <c r="C400" s="33"/>
      <c r="D400" s="33"/>
      <c r="E400" s="61"/>
      <c r="F400" s="32"/>
      <c r="G400" s="33"/>
      <c r="H400" s="33"/>
      <c r="I400" s="61">
        <f>IF($A400="",0,SUMIFS('Daily Transactions'!$F$6:$F$500,'Daily Transactions'!$I$6:$I$500,$O400,'Daily Transactions'!$C$6:$C$500,"Expense"))</f>
        <v>0</v>
      </c>
      <c r="J400" s="61" t="str">
        <f t="shared" si="2"/>
        <v/>
      </c>
      <c r="K400" s="60" t="str">
        <f t="shared" si="3"/>
        <v/>
      </c>
      <c r="L400" s="60" t="str">
        <f t="shared" si="4"/>
        <v/>
      </c>
      <c r="M400" s="56" t="str">
        <f>IF($A400="","",IF(I400&gt;=E400,MAXIFS('Daily Transactions'!$A$6:$A$500,'Daily Transactions'!$I$6:$I$500,$O400,'Daily Transactions'!$C$6:$C$500,"Expense"),""))</f>
        <v/>
      </c>
      <c r="N400" s="33"/>
      <c r="O400" s="26" t="str">
        <f t="shared" si="5"/>
        <v/>
      </c>
      <c r="P400" s="33"/>
    </row>
    <row r="401" ht="15.0" customHeight="1">
      <c r="A401" s="29" t="str">
        <f t="shared" si="1"/>
        <v/>
      </c>
      <c r="B401" s="16"/>
      <c r="C401" s="16"/>
      <c r="D401" s="16"/>
      <c r="E401" s="17"/>
      <c r="F401" s="40"/>
      <c r="G401" s="16"/>
      <c r="H401" s="16"/>
      <c r="I401" s="17">
        <f>IF($A401="",0,SUMIFS('Daily Transactions'!$F$6:$F$500,'Daily Transactions'!$I$6:$I$500,$O401,'Daily Transactions'!$C$6:$C$500,"Expense"))</f>
        <v>0</v>
      </c>
      <c r="J401" s="17" t="str">
        <f t="shared" si="2"/>
        <v/>
      </c>
      <c r="K401" s="29" t="str">
        <f t="shared" si="3"/>
        <v/>
      </c>
      <c r="L401" s="29" t="str">
        <f t="shared" si="4"/>
        <v/>
      </c>
      <c r="M401" s="49" t="str">
        <f>IF($A401="","",IF(I401&gt;=E401,MAXIFS('Daily Transactions'!$A$6:$A$500,'Daily Transactions'!$I$6:$I$500,$O401,'Daily Transactions'!$C$6:$C$500,"Expense"),""))</f>
        <v/>
      </c>
      <c r="N401" s="16"/>
      <c r="O401" s="26" t="str">
        <f t="shared" si="5"/>
        <v/>
      </c>
      <c r="P401" s="16"/>
    </row>
    <row r="402" ht="15.0" customHeight="1">
      <c r="A402" s="60" t="str">
        <f t="shared" si="1"/>
        <v/>
      </c>
      <c r="B402" s="33"/>
      <c r="C402" s="33"/>
      <c r="D402" s="33"/>
      <c r="E402" s="61"/>
      <c r="F402" s="32"/>
      <c r="G402" s="33"/>
      <c r="H402" s="33"/>
      <c r="I402" s="61">
        <f>IF($A402="",0,SUMIFS('Daily Transactions'!$F$6:$F$500,'Daily Transactions'!$I$6:$I$500,$O402,'Daily Transactions'!$C$6:$C$500,"Expense"))</f>
        <v>0</v>
      </c>
      <c r="J402" s="61" t="str">
        <f t="shared" si="2"/>
        <v/>
      </c>
      <c r="K402" s="60" t="str">
        <f t="shared" si="3"/>
        <v/>
      </c>
      <c r="L402" s="60" t="str">
        <f t="shared" si="4"/>
        <v/>
      </c>
      <c r="M402" s="56" t="str">
        <f>IF($A402="","",IF(I402&gt;=E402,MAXIFS('Daily Transactions'!$A$6:$A$500,'Daily Transactions'!$I$6:$I$500,$O402,'Daily Transactions'!$C$6:$C$500,"Expense"),""))</f>
        <v/>
      </c>
      <c r="N402" s="33"/>
      <c r="O402" s="26" t="str">
        <f t="shared" si="5"/>
        <v/>
      </c>
      <c r="P402" s="33"/>
    </row>
    <row r="403" ht="15.0" customHeight="1">
      <c r="A403" s="29" t="str">
        <f t="shared" si="1"/>
        <v/>
      </c>
      <c r="B403" s="16"/>
      <c r="C403" s="16"/>
      <c r="D403" s="16"/>
      <c r="E403" s="17"/>
      <c r="F403" s="40"/>
      <c r="G403" s="16"/>
      <c r="H403" s="16"/>
      <c r="I403" s="17">
        <f>IF($A403="",0,SUMIFS('Daily Transactions'!$F$6:$F$500,'Daily Transactions'!$I$6:$I$500,$O403,'Daily Transactions'!$C$6:$C$500,"Expense"))</f>
        <v>0</v>
      </c>
      <c r="J403" s="17" t="str">
        <f t="shared" si="2"/>
        <v/>
      </c>
      <c r="K403" s="29" t="str">
        <f t="shared" si="3"/>
        <v/>
      </c>
      <c r="L403" s="29" t="str">
        <f t="shared" si="4"/>
        <v/>
      </c>
      <c r="M403" s="49" t="str">
        <f>IF($A403="","",IF(I403&gt;=E403,MAXIFS('Daily Transactions'!$A$6:$A$500,'Daily Transactions'!$I$6:$I$500,$O403,'Daily Transactions'!$C$6:$C$500,"Expense"),""))</f>
        <v/>
      </c>
      <c r="N403" s="16"/>
      <c r="O403" s="26" t="str">
        <f t="shared" si="5"/>
        <v/>
      </c>
      <c r="P403" s="16"/>
    </row>
    <row r="404" ht="15.0" customHeight="1">
      <c r="A404" s="60" t="str">
        <f t="shared" si="1"/>
        <v/>
      </c>
      <c r="B404" s="33"/>
      <c r="C404" s="33"/>
      <c r="D404" s="33"/>
      <c r="E404" s="61"/>
      <c r="F404" s="32"/>
      <c r="G404" s="33"/>
      <c r="H404" s="33"/>
      <c r="I404" s="61">
        <f>IF($A404="",0,SUMIFS('Daily Transactions'!$F$6:$F$500,'Daily Transactions'!$I$6:$I$500,$O404,'Daily Transactions'!$C$6:$C$500,"Expense"))</f>
        <v>0</v>
      </c>
      <c r="J404" s="61" t="str">
        <f t="shared" si="2"/>
        <v/>
      </c>
      <c r="K404" s="60" t="str">
        <f t="shared" si="3"/>
        <v/>
      </c>
      <c r="L404" s="60" t="str">
        <f t="shared" si="4"/>
        <v/>
      </c>
      <c r="M404" s="56" t="str">
        <f>IF($A404="","",IF(I404&gt;=E404,MAXIFS('Daily Transactions'!$A$6:$A$500,'Daily Transactions'!$I$6:$I$500,$O404,'Daily Transactions'!$C$6:$C$500,"Expense"),""))</f>
        <v/>
      </c>
      <c r="N404" s="33"/>
      <c r="O404" s="26" t="str">
        <f t="shared" si="5"/>
        <v/>
      </c>
      <c r="P404" s="33"/>
    </row>
    <row r="405" ht="15.0" customHeight="1">
      <c r="A405" s="29" t="str">
        <f t="shared" si="1"/>
        <v/>
      </c>
      <c r="B405" s="16"/>
      <c r="C405" s="16"/>
      <c r="D405" s="16"/>
      <c r="E405" s="17"/>
      <c r="F405" s="40"/>
      <c r="G405" s="16"/>
      <c r="H405" s="16"/>
      <c r="I405" s="17">
        <f>IF($A405="",0,SUMIFS('Daily Transactions'!$F$6:$F$500,'Daily Transactions'!$I$6:$I$500,$O405,'Daily Transactions'!$C$6:$C$500,"Expense"))</f>
        <v>0</v>
      </c>
      <c r="J405" s="17" t="str">
        <f t="shared" si="2"/>
        <v/>
      </c>
      <c r="K405" s="29" t="str">
        <f t="shared" si="3"/>
        <v/>
      </c>
      <c r="L405" s="29" t="str">
        <f t="shared" si="4"/>
        <v/>
      </c>
      <c r="M405" s="49" t="str">
        <f>IF($A405="","",IF(I405&gt;=E405,MAXIFS('Daily Transactions'!$A$6:$A$500,'Daily Transactions'!$I$6:$I$500,$O405,'Daily Transactions'!$C$6:$C$500,"Expense"),""))</f>
        <v/>
      </c>
      <c r="N405" s="16"/>
      <c r="O405" s="26" t="str">
        <f t="shared" si="5"/>
        <v/>
      </c>
      <c r="P405" s="16"/>
    </row>
    <row r="406" ht="15.0" customHeight="1">
      <c r="A406" s="60" t="str">
        <f t="shared" si="1"/>
        <v/>
      </c>
      <c r="B406" s="33"/>
      <c r="C406" s="33"/>
      <c r="D406" s="33"/>
      <c r="E406" s="61"/>
      <c r="F406" s="32"/>
      <c r="G406" s="33"/>
      <c r="H406" s="33"/>
      <c r="I406" s="61">
        <f>IF($A406="",0,SUMIFS('Daily Transactions'!$F$6:$F$500,'Daily Transactions'!$I$6:$I$500,$O406,'Daily Transactions'!$C$6:$C$500,"Expense"))</f>
        <v>0</v>
      </c>
      <c r="J406" s="61" t="str">
        <f t="shared" si="2"/>
        <v/>
      </c>
      <c r="K406" s="60" t="str">
        <f t="shared" si="3"/>
        <v/>
      </c>
      <c r="L406" s="60" t="str">
        <f t="shared" si="4"/>
        <v/>
      </c>
      <c r="M406" s="56" t="str">
        <f>IF($A406="","",IF(I406&gt;=E406,MAXIFS('Daily Transactions'!$A$6:$A$500,'Daily Transactions'!$I$6:$I$500,$O406,'Daily Transactions'!$C$6:$C$500,"Expense"),""))</f>
        <v/>
      </c>
      <c r="N406" s="33"/>
      <c r="O406" s="26" t="str">
        <f t="shared" si="5"/>
        <v/>
      </c>
      <c r="P406" s="33"/>
    </row>
    <row r="407" ht="15.0" customHeight="1">
      <c r="A407" s="29" t="str">
        <f t="shared" si="1"/>
        <v/>
      </c>
      <c r="B407" s="16"/>
      <c r="C407" s="16"/>
      <c r="D407" s="16"/>
      <c r="E407" s="17"/>
      <c r="F407" s="40"/>
      <c r="G407" s="16"/>
      <c r="H407" s="16"/>
      <c r="I407" s="17">
        <f>IF($A407="",0,SUMIFS('Daily Transactions'!$F$6:$F$500,'Daily Transactions'!$I$6:$I$500,$O407,'Daily Transactions'!$C$6:$C$500,"Expense"))</f>
        <v>0</v>
      </c>
      <c r="J407" s="17" t="str">
        <f t="shared" si="2"/>
        <v/>
      </c>
      <c r="K407" s="29" t="str">
        <f t="shared" si="3"/>
        <v/>
      </c>
      <c r="L407" s="29" t="str">
        <f t="shared" si="4"/>
        <v/>
      </c>
      <c r="M407" s="49" t="str">
        <f>IF($A407="","",IF(I407&gt;=E407,MAXIFS('Daily Transactions'!$A$6:$A$500,'Daily Transactions'!$I$6:$I$500,$O407,'Daily Transactions'!$C$6:$C$500,"Expense"),""))</f>
        <v/>
      </c>
      <c r="N407" s="16"/>
      <c r="O407" s="26" t="str">
        <f t="shared" si="5"/>
        <v/>
      </c>
      <c r="P407" s="16"/>
    </row>
    <row r="408" ht="15.0" customHeight="1">
      <c r="A408" s="60" t="str">
        <f t="shared" si="1"/>
        <v/>
      </c>
      <c r="B408" s="33"/>
      <c r="C408" s="33"/>
      <c r="D408" s="33"/>
      <c r="E408" s="61"/>
      <c r="F408" s="32"/>
      <c r="G408" s="33"/>
      <c r="H408" s="33"/>
      <c r="I408" s="61">
        <f>IF($A408="",0,SUMIFS('Daily Transactions'!$F$6:$F$500,'Daily Transactions'!$I$6:$I$500,$O408,'Daily Transactions'!$C$6:$C$500,"Expense"))</f>
        <v>0</v>
      </c>
      <c r="J408" s="61" t="str">
        <f t="shared" si="2"/>
        <v/>
      </c>
      <c r="K408" s="60" t="str">
        <f t="shared" si="3"/>
        <v/>
      </c>
      <c r="L408" s="60" t="str">
        <f t="shared" si="4"/>
        <v/>
      </c>
      <c r="M408" s="56" t="str">
        <f>IF($A408="","",IF(I408&gt;=E408,MAXIFS('Daily Transactions'!$A$6:$A$500,'Daily Transactions'!$I$6:$I$500,$O408,'Daily Transactions'!$C$6:$C$500,"Expense"),""))</f>
        <v/>
      </c>
      <c r="N408" s="33"/>
      <c r="O408" s="26" t="str">
        <f t="shared" si="5"/>
        <v/>
      </c>
      <c r="P408" s="33"/>
    </row>
    <row r="409" ht="15.0" customHeight="1">
      <c r="A409" s="29" t="str">
        <f t="shared" si="1"/>
        <v/>
      </c>
      <c r="B409" s="16"/>
      <c r="C409" s="16"/>
      <c r="D409" s="16"/>
      <c r="E409" s="17"/>
      <c r="F409" s="40"/>
      <c r="G409" s="16"/>
      <c r="H409" s="16"/>
      <c r="I409" s="17">
        <f>IF($A409="",0,SUMIFS('Daily Transactions'!$F$6:$F$500,'Daily Transactions'!$I$6:$I$500,$O409,'Daily Transactions'!$C$6:$C$500,"Expense"))</f>
        <v>0</v>
      </c>
      <c r="J409" s="17" t="str">
        <f t="shared" si="2"/>
        <v/>
      </c>
      <c r="K409" s="29" t="str">
        <f t="shared" si="3"/>
        <v/>
      </c>
      <c r="L409" s="29" t="str">
        <f t="shared" si="4"/>
        <v/>
      </c>
      <c r="M409" s="49" t="str">
        <f>IF($A409="","",IF(I409&gt;=E409,MAXIFS('Daily Transactions'!$A$6:$A$500,'Daily Transactions'!$I$6:$I$500,$O409,'Daily Transactions'!$C$6:$C$500,"Expense"),""))</f>
        <v/>
      </c>
      <c r="N409" s="16"/>
      <c r="O409" s="26" t="str">
        <f t="shared" si="5"/>
        <v/>
      </c>
      <c r="P409" s="16"/>
    </row>
    <row r="410" ht="15.0" customHeight="1">
      <c r="A410" s="60" t="str">
        <f t="shared" si="1"/>
        <v/>
      </c>
      <c r="B410" s="33"/>
      <c r="C410" s="33"/>
      <c r="D410" s="33"/>
      <c r="E410" s="61"/>
      <c r="F410" s="32"/>
      <c r="G410" s="33"/>
      <c r="H410" s="33"/>
      <c r="I410" s="61">
        <f>IF($A410="",0,SUMIFS('Daily Transactions'!$F$6:$F$500,'Daily Transactions'!$I$6:$I$500,$O410,'Daily Transactions'!$C$6:$C$500,"Expense"))</f>
        <v>0</v>
      </c>
      <c r="J410" s="61" t="str">
        <f t="shared" si="2"/>
        <v/>
      </c>
      <c r="K410" s="60" t="str">
        <f t="shared" si="3"/>
        <v/>
      </c>
      <c r="L410" s="60" t="str">
        <f t="shared" si="4"/>
        <v/>
      </c>
      <c r="M410" s="56" t="str">
        <f>IF($A410="","",IF(I410&gt;=E410,MAXIFS('Daily Transactions'!$A$6:$A$500,'Daily Transactions'!$I$6:$I$500,$O410,'Daily Transactions'!$C$6:$C$500,"Expense"),""))</f>
        <v/>
      </c>
      <c r="N410" s="33"/>
      <c r="O410" s="26" t="str">
        <f t="shared" si="5"/>
        <v/>
      </c>
      <c r="P410" s="33"/>
    </row>
    <row r="411" ht="15.0" customHeight="1">
      <c r="A411" s="29" t="str">
        <f t="shared" si="1"/>
        <v/>
      </c>
      <c r="B411" s="16"/>
      <c r="C411" s="16"/>
      <c r="D411" s="16"/>
      <c r="E411" s="17"/>
      <c r="F411" s="40"/>
      <c r="G411" s="16"/>
      <c r="H411" s="16"/>
      <c r="I411" s="17">
        <f>IF($A411="",0,SUMIFS('Daily Transactions'!$F$6:$F$500,'Daily Transactions'!$I$6:$I$500,$O411,'Daily Transactions'!$C$6:$C$500,"Expense"))</f>
        <v>0</v>
      </c>
      <c r="J411" s="17" t="str">
        <f t="shared" si="2"/>
        <v/>
      </c>
      <c r="K411" s="29" t="str">
        <f t="shared" si="3"/>
        <v/>
      </c>
      <c r="L411" s="29" t="str">
        <f t="shared" si="4"/>
        <v/>
      </c>
      <c r="M411" s="49" t="str">
        <f>IF($A411="","",IF(I411&gt;=E411,MAXIFS('Daily Transactions'!$A$6:$A$500,'Daily Transactions'!$I$6:$I$500,$O411,'Daily Transactions'!$C$6:$C$500,"Expense"),""))</f>
        <v/>
      </c>
      <c r="N411" s="16"/>
      <c r="O411" s="26" t="str">
        <f t="shared" si="5"/>
        <v/>
      </c>
      <c r="P411" s="16"/>
    </row>
    <row r="412" ht="15.0" customHeight="1">
      <c r="A412" s="60" t="str">
        <f t="shared" si="1"/>
        <v/>
      </c>
      <c r="B412" s="33"/>
      <c r="C412" s="33"/>
      <c r="D412" s="33"/>
      <c r="E412" s="61"/>
      <c r="F412" s="32"/>
      <c r="G412" s="33"/>
      <c r="H412" s="33"/>
      <c r="I412" s="61">
        <f>IF($A412="",0,SUMIFS('Daily Transactions'!$F$6:$F$500,'Daily Transactions'!$I$6:$I$500,$O412,'Daily Transactions'!$C$6:$C$500,"Expense"))</f>
        <v>0</v>
      </c>
      <c r="J412" s="61" t="str">
        <f t="shared" si="2"/>
        <v/>
      </c>
      <c r="K412" s="60" t="str">
        <f t="shared" si="3"/>
        <v/>
      </c>
      <c r="L412" s="60" t="str">
        <f t="shared" si="4"/>
        <v/>
      </c>
      <c r="M412" s="56" t="str">
        <f>IF($A412="","",IF(I412&gt;=E412,MAXIFS('Daily Transactions'!$A$6:$A$500,'Daily Transactions'!$I$6:$I$500,$O412,'Daily Transactions'!$C$6:$C$500,"Expense"),""))</f>
        <v/>
      </c>
      <c r="N412" s="33"/>
      <c r="O412" s="26" t="str">
        <f t="shared" si="5"/>
        <v/>
      </c>
      <c r="P412" s="33"/>
    </row>
    <row r="413" ht="15.0" customHeight="1">
      <c r="A413" s="29" t="str">
        <f t="shared" si="1"/>
        <v/>
      </c>
      <c r="B413" s="16"/>
      <c r="C413" s="16"/>
      <c r="D413" s="16"/>
      <c r="E413" s="17"/>
      <c r="F413" s="40"/>
      <c r="G413" s="16"/>
      <c r="H413" s="16"/>
      <c r="I413" s="17">
        <f>IF($A413="",0,SUMIFS('Daily Transactions'!$F$6:$F$500,'Daily Transactions'!$I$6:$I$500,$O413,'Daily Transactions'!$C$6:$C$500,"Expense"))</f>
        <v>0</v>
      </c>
      <c r="J413" s="17" t="str">
        <f t="shared" si="2"/>
        <v/>
      </c>
      <c r="K413" s="29" t="str">
        <f t="shared" si="3"/>
        <v/>
      </c>
      <c r="L413" s="29" t="str">
        <f t="shared" si="4"/>
        <v/>
      </c>
      <c r="M413" s="49" t="str">
        <f>IF($A413="","",IF(I413&gt;=E413,MAXIFS('Daily Transactions'!$A$6:$A$500,'Daily Transactions'!$I$6:$I$500,$O413,'Daily Transactions'!$C$6:$C$500,"Expense"),""))</f>
        <v/>
      </c>
      <c r="N413" s="16"/>
      <c r="O413" s="26" t="str">
        <f t="shared" si="5"/>
        <v/>
      </c>
      <c r="P413" s="16"/>
    </row>
    <row r="414" ht="15.0" customHeight="1">
      <c r="A414" s="60" t="str">
        <f t="shared" si="1"/>
        <v/>
      </c>
      <c r="B414" s="33"/>
      <c r="C414" s="33"/>
      <c r="D414" s="33"/>
      <c r="E414" s="61"/>
      <c r="F414" s="32"/>
      <c r="G414" s="33"/>
      <c r="H414" s="33"/>
      <c r="I414" s="61">
        <f>IF($A414="",0,SUMIFS('Daily Transactions'!$F$6:$F$500,'Daily Transactions'!$I$6:$I$500,$O414,'Daily Transactions'!$C$6:$C$500,"Expense"))</f>
        <v>0</v>
      </c>
      <c r="J414" s="61" t="str">
        <f t="shared" si="2"/>
        <v/>
      </c>
      <c r="K414" s="60" t="str">
        <f t="shared" si="3"/>
        <v/>
      </c>
      <c r="L414" s="60" t="str">
        <f t="shared" si="4"/>
        <v/>
      </c>
      <c r="M414" s="56" t="str">
        <f>IF($A414="","",IF(I414&gt;=E414,MAXIFS('Daily Transactions'!$A$6:$A$500,'Daily Transactions'!$I$6:$I$500,$O414,'Daily Transactions'!$C$6:$C$500,"Expense"),""))</f>
        <v/>
      </c>
      <c r="N414" s="33"/>
      <c r="O414" s="26" t="str">
        <f t="shared" si="5"/>
        <v/>
      </c>
      <c r="P414" s="33"/>
    </row>
    <row r="415" ht="15.0" customHeight="1">
      <c r="A415" s="29" t="str">
        <f t="shared" si="1"/>
        <v/>
      </c>
      <c r="B415" s="16"/>
      <c r="C415" s="16"/>
      <c r="D415" s="16"/>
      <c r="E415" s="17"/>
      <c r="F415" s="40"/>
      <c r="G415" s="16"/>
      <c r="H415" s="16"/>
      <c r="I415" s="17">
        <f>IF($A415="",0,SUMIFS('Daily Transactions'!$F$6:$F$500,'Daily Transactions'!$I$6:$I$500,$O415,'Daily Transactions'!$C$6:$C$500,"Expense"))</f>
        <v>0</v>
      </c>
      <c r="J415" s="17" t="str">
        <f t="shared" si="2"/>
        <v/>
      </c>
      <c r="K415" s="29" t="str">
        <f t="shared" si="3"/>
        <v/>
      </c>
      <c r="L415" s="29" t="str">
        <f t="shared" si="4"/>
        <v/>
      </c>
      <c r="M415" s="49" t="str">
        <f>IF($A415="","",IF(I415&gt;=E415,MAXIFS('Daily Transactions'!$A$6:$A$500,'Daily Transactions'!$I$6:$I$500,$O415,'Daily Transactions'!$C$6:$C$500,"Expense"),""))</f>
        <v/>
      </c>
      <c r="N415" s="16"/>
      <c r="O415" s="26" t="str">
        <f t="shared" si="5"/>
        <v/>
      </c>
      <c r="P415" s="16"/>
    </row>
    <row r="416" ht="15.0" customHeight="1">
      <c r="A416" s="60" t="str">
        <f t="shared" si="1"/>
        <v/>
      </c>
      <c r="B416" s="33"/>
      <c r="C416" s="33"/>
      <c r="D416" s="33"/>
      <c r="E416" s="61"/>
      <c r="F416" s="32"/>
      <c r="G416" s="33"/>
      <c r="H416" s="33"/>
      <c r="I416" s="61">
        <f>IF($A416="",0,SUMIFS('Daily Transactions'!$F$6:$F$500,'Daily Transactions'!$I$6:$I$500,$O416,'Daily Transactions'!$C$6:$C$500,"Expense"))</f>
        <v>0</v>
      </c>
      <c r="J416" s="61" t="str">
        <f t="shared" si="2"/>
        <v/>
      </c>
      <c r="K416" s="60" t="str">
        <f t="shared" si="3"/>
        <v/>
      </c>
      <c r="L416" s="60" t="str">
        <f t="shared" si="4"/>
        <v/>
      </c>
      <c r="M416" s="56" t="str">
        <f>IF($A416="","",IF(I416&gt;=E416,MAXIFS('Daily Transactions'!$A$6:$A$500,'Daily Transactions'!$I$6:$I$500,$O416,'Daily Transactions'!$C$6:$C$500,"Expense"),""))</f>
        <v/>
      </c>
      <c r="N416" s="33"/>
      <c r="O416" s="26" t="str">
        <f t="shared" si="5"/>
        <v/>
      </c>
      <c r="P416" s="33"/>
    </row>
    <row r="417" ht="15.0" customHeight="1">
      <c r="A417" s="29" t="str">
        <f t="shared" si="1"/>
        <v/>
      </c>
      <c r="B417" s="16"/>
      <c r="C417" s="16"/>
      <c r="D417" s="16"/>
      <c r="E417" s="17"/>
      <c r="F417" s="40"/>
      <c r="G417" s="16"/>
      <c r="H417" s="16"/>
      <c r="I417" s="17">
        <f>IF($A417="",0,SUMIFS('Daily Transactions'!$F$6:$F$500,'Daily Transactions'!$I$6:$I$500,$O417,'Daily Transactions'!$C$6:$C$500,"Expense"))</f>
        <v>0</v>
      </c>
      <c r="J417" s="17" t="str">
        <f t="shared" si="2"/>
        <v/>
      </c>
      <c r="K417" s="29" t="str">
        <f t="shared" si="3"/>
        <v/>
      </c>
      <c r="L417" s="29" t="str">
        <f t="shared" si="4"/>
        <v/>
      </c>
      <c r="M417" s="49" t="str">
        <f>IF($A417="","",IF(I417&gt;=E417,MAXIFS('Daily Transactions'!$A$6:$A$500,'Daily Transactions'!$I$6:$I$500,$O417,'Daily Transactions'!$C$6:$C$500,"Expense"),""))</f>
        <v/>
      </c>
      <c r="N417" s="16"/>
      <c r="O417" s="26" t="str">
        <f t="shared" si="5"/>
        <v/>
      </c>
      <c r="P417" s="16"/>
    </row>
    <row r="418" ht="15.0" customHeight="1">
      <c r="A418" s="60" t="str">
        <f t="shared" si="1"/>
        <v/>
      </c>
      <c r="B418" s="33"/>
      <c r="C418" s="33"/>
      <c r="D418" s="33"/>
      <c r="E418" s="61"/>
      <c r="F418" s="32"/>
      <c r="G418" s="33"/>
      <c r="H418" s="33"/>
      <c r="I418" s="61">
        <f>IF($A418="",0,SUMIFS('Daily Transactions'!$F$6:$F$500,'Daily Transactions'!$I$6:$I$500,$O418,'Daily Transactions'!$C$6:$C$500,"Expense"))</f>
        <v>0</v>
      </c>
      <c r="J418" s="61" t="str">
        <f t="shared" si="2"/>
        <v/>
      </c>
      <c r="K418" s="60" t="str">
        <f t="shared" si="3"/>
        <v/>
      </c>
      <c r="L418" s="60" t="str">
        <f t="shared" si="4"/>
        <v/>
      </c>
      <c r="M418" s="56" t="str">
        <f>IF($A418="","",IF(I418&gt;=E418,MAXIFS('Daily Transactions'!$A$6:$A$500,'Daily Transactions'!$I$6:$I$500,$O418,'Daily Transactions'!$C$6:$C$500,"Expense"),""))</f>
        <v/>
      </c>
      <c r="N418" s="33"/>
      <c r="O418" s="26" t="str">
        <f t="shared" si="5"/>
        <v/>
      </c>
      <c r="P418" s="33"/>
    </row>
    <row r="419" ht="15.0" customHeight="1">
      <c r="A419" s="29" t="str">
        <f t="shared" si="1"/>
        <v/>
      </c>
      <c r="B419" s="16"/>
      <c r="C419" s="16"/>
      <c r="D419" s="16"/>
      <c r="E419" s="17"/>
      <c r="F419" s="40"/>
      <c r="G419" s="16"/>
      <c r="H419" s="16"/>
      <c r="I419" s="17">
        <f>IF($A419="",0,SUMIFS('Daily Transactions'!$F$6:$F$500,'Daily Transactions'!$I$6:$I$500,$O419,'Daily Transactions'!$C$6:$C$500,"Expense"))</f>
        <v>0</v>
      </c>
      <c r="J419" s="17" t="str">
        <f t="shared" si="2"/>
        <v/>
      </c>
      <c r="K419" s="29" t="str">
        <f t="shared" si="3"/>
        <v/>
      </c>
      <c r="L419" s="29" t="str">
        <f t="shared" si="4"/>
        <v/>
      </c>
      <c r="M419" s="49" t="str">
        <f>IF($A419="","",IF(I419&gt;=E419,MAXIFS('Daily Transactions'!$A$6:$A$500,'Daily Transactions'!$I$6:$I$500,$O419,'Daily Transactions'!$C$6:$C$500,"Expense"),""))</f>
        <v/>
      </c>
      <c r="N419" s="16"/>
      <c r="O419" s="26" t="str">
        <f t="shared" si="5"/>
        <v/>
      </c>
      <c r="P419" s="16"/>
    </row>
    <row r="420" ht="15.0" customHeight="1">
      <c r="A420" s="60" t="str">
        <f t="shared" si="1"/>
        <v/>
      </c>
      <c r="B420" s="33"/>
      <c r="C420" s="33"/>
      <c r="D420" s="33"/>
      <c r="E420" s="61"/>
      <c r="F420" s="32"/>
      <c r="G420" s="33"/>
      <c r="H420" s="33"/>
      <c r="I420" s="61">
        <f>IF($A420="",0,SUMIFS('Daily Transactions'!$F$6:$F$500,'Daily Transactions'!$I$6:$I$500,$O420,'Daily Transactions'!$C$6:$C$500,"Expense"))</f>
        <v>0</v>
      </c>
      <c r="J420" s="61" t="str">
        <f t="shared" si="2"/>
        <v/>
      </c>
      <c r="K420" s="60" t="str">
        <f t="shared" si="3"/>
        <v/>
      </c>
      <c r="L420" s="60" t="str">
        <f t="shared" si="4"/>
        <v/>
      </c>
      <c r="M420" s="56" t="str">
        <f>IF($A420="","",IF(I420&gt;=E420,MAXIFS('Daily Transactions'!$A$6:$A$500,'Daily Transactions'!$I$6:$I$500,$O420,'Daily Transactions'!$C$6:$C$500,"Expense"),""))</f>
        <v/>
      </c>
      <c r="N420" s="33"/>
      <c r="O420" s="26" t="str">
        <f t="shared" si="5"/>
        <v/>
      </c>
      <c r="P420" s="33"/>
    </row>
    <row r="421" ht="15.0" customHeight="1">
      <c r="A421" s="29" t="str">
        <f t="shared" si="1"/>
        <v/>
      </c>
      <c r="B421" s="16"/>
      <c r="C421" s="16"/>
      <c r="D421" s="16"/>
      <c r="E421" s="17"/>
      <c r="F421" s="40"/>
      <c r="G421" s="16"/>
      <c r="H421" s="16"/>
      <c r="I421" s="17">
        <f>IF($A421="",0,SUMIFS('Daily Transactions'!$F$6:$F$500,'Daily Transactions'!$I$6:$I$500,$O421,'Daily Transactions'!$C$6:$C$500,"Expense"))</f>
        <v>0</v>
      </c>
      <c r="J421" s="17" t="str">
        <f t="shared" si="2"/>
        <v/>
      </c>
      <c r="K421" s="29" t="str">
        <f t="shared" si="3"/>
        <v/>
      </c>
      <c r="L421" s="29" t="str">
        <f t="shared" si="4"/>
        <v/>
      </c>
      <c r="M421" s="49" t="str">
        <f>IF($A421="","",IF(I421&gt;=E421,MAXIFS('Daily Transactions'!$A$6:$A$500,'Daily Transactions'!$I$6:$I$500,$O421,'Daily Transactions'!$C$6:$C$500,"Expense"),""))</f>
        <v/>
      </c>
      <c r="N421" s="16"/>
      <c r="O421" s="26" t="str">
        <f t="shared" si="5"/>
        <v/>
      </c>
      <c r="P421" s="16"/>
    </row>
    <row r="422" ht="15.0" customHeight="1">
      <c r="A422" s="60" t="str">
        <f t="shared" si="1"/>
        <v/>
      </c>
      <c r="B422" s="33"/>
      <c r="C422" s="33"/>
      <c r="D422" s="33"/>
      <c r="E422" s="61"/>
      <c r="F422" s="32"/>
      <c r="G422" s="33"/>
      <c r="H422" s="33"/>
      <c r="I422" s="61">
        <f>IF($A422="",0,SUMIFS('Daily Transactions'!$F$6:$F$500,'Daily Transactions'!$I$6:$I$500,$O422,'Daily Transactions'!$C$6:$C$500,"Expense"))</f>
        <v>0</v>
      </c>
      <c r="J422" s="61" t="str">
        <f t="shared" si="2"/>
        <v/>
      </c>
      <c r="K422" s="60" t="str">
        <f t="shared" si="3"/>
        <v/>
      </c>
      <c r="L422" s="60" t="str">
        <f t="shared" si="4"/>
        <v/>
      </c>
      <c r="M422" s="56" t="str">
        <f>IF($A422="","",IF(I422&gt;=E422,MAXIFS('Daily Transactions'!$A$6:$A$500,'Daily Transactions'!$I$6:$I$500,$O422,'Daily Transactions'!$C$6:$C$500,"Expense"),""))</f>
        <v/>
      </c>
      <c r="N422" s="33"/>
      <c r="O422" s="26" t="str">
        <f t="shared" si="5"/>
        <v/>
      </c>
      <c r="P422" s="33"/>
    </row>
    <row r="423" ht="15.0" customHeight="1">
      <c r="A423" s="29" t="str">
        <f t="shared" si="1"/>
        <v/>
      </c>
      <c r="B423" s="16"/>
      <c r="C423" s="16"/>
      <c r="D423" s="16"/>
      <c r="E423" s="17"/>
      <c r="F423" s="40"/>
      <c r="G423" s="16"/>
      <c r="H423" s="16"/>
      <c r="I423" s="17">
        <f>IF($A423="",0,SUMIFS('Daily Transactions'!$F$6:$F$500,'Daily Transactions'!$I$6:$I$500,$O423,'Daily Transactions'!$C$6:$C$500,"Expense"))</f>
        <v>0</v>
      </c>
      <c r="J423" s="17" t="str">
        <f t="shared" si="2"/>
        <v/>
      </c>
      <c r="K423" s="29" t="str">
        <f t="shared" si="3"/>
        <v/>
      </c>
      <c r="L423" s="29" t="str">
        <f t="shared" si="4"/>
        <v/>
      </c>
      <c r="M423" s="49" t="str">
        <f>IF($A423="","",IF(I423&gt;=E423,MAXIFS('Daily Transactions'!$A$6:$A$500,'Daily Transactions'!$I$6:$I$500,$O423,'Daily Transactions'!$C$6:$C$500,"Expense"),""))</f>
        <v/>
      </c>
      <c r="N423" s="16"/>
      <c r="O423" s="26" t="str">
        <f t="shared" si="5"/>
        <v/>
      </c>
      <c r="P423" s="16"/>
    </row>
    <row r="424" ht="15.0" customHeight="1">
      <c r="A424" s="60" t="str">
        <f t="shared" si="1"/>
        <v/>
      </c>
      <c r="B424" s="33"/>
      <c r="C424" s="33"/>
      <c r="D424" s="33"/>
      <c r="E424" s="61"/>
      <c r="F424" s="32"/>
      <c r="G424" s="33"/>
      <c r="H424" s="33"/>
      <c r="I424" s="61">
        <f>IF($A424="",0,SUMIFS('Daily Transactions'!$F$6:$F$500,'Daily Transactions'!$I$6:$I$500,$O424,'Daily Transactions'!$C$6:$C$500,"Expense"))</f>
        <v>0</v>
      </c>
      <c r="J424" s="61" t="str">
        <f t="shared" si="2"/>
        <v/>
      </c>
      <c r="K424" s="60" t="str">
        <f t="shared" si="3"/>
        <v/>
      </c>
      <c r="L424" s="60" t="str">
        <f t="shared" si="4"/>
        <v/>
      </c>
      <c r="M424" s="56" t="str">
        <f>IF($A424="","",IF(I424&gt;=E424,MAXIFS('Daily Transactions'!$A$6:$A$500,'Daily Transactions'!$I$6:$I$500,$O424,'Daily Transactions'!$C$6:$C$500,"Expense"),""))</f>
        <v/>
      </c>
      <c r="N424" s="33"/>
      <c r="O424" s="26" t="str">
        <f t="shared" si="5"/>
        <v/>
      </c>
      <c r="P424" s="33"/>
    </row>
    <row r="425" ht="15.0" customHeight="1">
      <c r="A425" s="29" t="str">
        <f t="shared" si="1"/>
        <v/>
      </c>
      <c r="B425" s="16"/>
      <c r="C425" s="16"/>
      <c r="D425" s="16"/>
      <c r="E425" s="17"/>
      <c r="F425" s="40"/>
      <c r="G425" s="16"/>
      <c r="H425" s="16"/>
      <c r="I425" s="17">
        <f>IF($A425="",0,SUMIFS('Daily Transactions'!$F$6:$F$500,'Daily Transactions'!$I$6:$I$500,$O425,'Daily Transactions'!$C$6:$C$500,"Expense"))</f>
        <v>0</v>
      </c>
      <c r="J425" s="17" t="str">
        <f t="shared" si="2"/>
        <v/>
      </c>
      <c r="K425" s="29" t="str">
        <f t="shared" si="3"/>
        <v/>
      </c>
      <c r="L425" s="29" t="str">
        <f t="shared" si="4"/>
        <v/>
      </c>
      <c r="M425" s="49" t="str">
        <f>IF($A425="","",IF(I425&gt;=E425,MAXIFS('Daily Transactions'!$A$6:$A$500,'Daily Transactions'!$I$6:$I$500,$O425,'Daily Transactions'!$C$6:$C$500,"Expense"),""))</f>
        <v/>
      </c>
      <c r="N425" s="16"/>
      <c r="O425" s="26" t="str">
        <f t="shared" si="5"/>
        <v/>
      </c>
      <c r="P425" s="16"/>
    </row>
    <row r="426" ht="15.0" customHeight="1">
      <c r="A426" s="60" t="str">
        <f t="shared" si="1"/>
        <v/>
      </c>
      <c r="B426" s="33"/>
      <c r="C426" s="33"/>
      <c r="D426" s="33"/>
      <c r="E426" s="61"/>
      <c r="F426" s="32"/>
      <c r="G426" s="33"/>
      <c r="H426" s="33"/>
      <c r="I426" s="61">
        <f>IF($A426="",0,SUMIFS('Daily Transactions'!$F$6:$F$500,'Daily Transactions'!$I$6:$I$500,$O426,'Daily Transactions'!$C$6:$C$500,"Expense"))</f>
        <v>0</v>
      </c>
      <c r="J426" s="61" t="str">
        <f t="shared" si="2"/>
        <v/>
      </c>
      <c r="K426" s="60" t="str">
        <f t="shared" si="3"/>
        <v/>
      </c>
      <c r="L426" s="60" t="str">
        <f t="shared" si="4"/>
        <v/>
      </c>
      <c r="M426" s="56" t="str">
        <f>IF($A426="","",IF(I426&gt;=E426,MAXIFS('Daily Transactions'!$A$6:$A$500,'Daily Transactions'!$I$6:$I$500,$O426,'Daily Transactions'!$C$6:$C$500,"Expense"),""))</f>
        <v/>
      </c>
      <c r="N426" s="33"/>
      <c r="O426" s="26" t="str">
        <f t="shared" si="5"/>
        <v/>
      </c>
      <c r="P426" s="33"/>
    </row>
    <row r="427" ht="15.0" customHeight="1">
      <c r="A427" s="29" t="str">
        <f t="shared" si="1"/>
        <v/>
      </c>
      <c r="B427" s="16"/>
      <c r="C427" s="16"/>
      <c r="D427" s="16"/>
      <c r="E427" s="17"/>
      <c r="F427" s="40"/>
      <c r="G427" s="16"/>
      <c r="H427" s="16"/>
      <c r="I427" s="17">
        <f>IF($A427="",0,SUMIFS('Daily Transactions'!$F$6:$F$500,'Daily Transactions'!$I$6:$I$500,$O427,'Daily Transactions'!$C$6:$C$500,"Expense"))</f>
        <v>0</v>
      </c>
      <c r="J427" s="17" t="str">
        <f t="shared" si="2"/>
        <v/>
      </c>
      <c r="K427" s="29" t="str">
        <f t="shared" si="3"/>
        <v/>
      </c>
      <c r="L427" s="29" t="str">
        <f t="shared" si="4"/>
        <v/>
      </c>
      <c r="M427" s="49" t="str">
        <f>IF($A427="","",IF(I427&gt;=E427,MAXIFS('Daily Transactions'!$A$6:$A$500,'Daily Transactions'!$I$6:$I$500,$O427,'Daily Transactions'!$C$6:$C$500,"Expense"),""))</f>
        <v/>
      </c>
      <c r="N427" s="16"/>
      <c r="O427" s="26" t="str">
        <f t="shared" si="5"/>
        <v/>
      </c>
      <c r="P427" s="16"/>
    </row>
    <row r="428" ht="15.0" customHeight="1">
      <c r="A428" s="60" t="str">
        <f t="shared" si="1"/>
        <v/>
      </c>
      <c r="B428" s="33"/>
      <c r="C428" s="33"/>
      <c r="D428" s="33"/>
      <c r="E428" s="61"/>
      <c r="F428" s="32"/>
      <c r="G428" s="33"/>
      <c r="H428" s="33"/>
      <c r="I428" s="61">
        <f>IF($A428="",0,SUMIFS('Daily Transactions'!$F$6:$F$500,'Daily Transactions'!$I$6:$I$500,$O428,'Daily Transactions'!$C$6:$C$500,"Expense"))</f>
        <v>0</v>
      </c>
      <c r="J428" s="61" t="str">
        <f t="shared" si="2"/>
        <v/>
      </c>
      <c r="K428" s="60" t="str">
        <f t="shared" si="3"/>
        <v/>
      </c>
      <c r="L428" s="60" t="str">
        <f t="shared" si="4"/>
        <v/>
      </c>
      <c r="M428" s="56" t="str">
        <f>IF($A428="","",IF(I428&gt;=E428,MAXIFS('Daily Transactions'!$A$6:$A$500,'Daily Transactions'!$I$6:$I$500,$O428,'Daily Transactions'!$C$6:$C$500,"Expense"),""))</f>
        <v/>
      </c>
      <c r="N428" s="33"/>
      <c r="O428" s="26" t="str">
        <f t="shared" si="5"/>
        <v/>
      </c>
      <c r="P428" s="33"/>
    </row>
    <row r="429" ht="15.0" customHeight="1">
      <c r="A429" s="29" t="str">
        <f t="shared" si="1"/>
        <v/>
      </c>
      <c r="B429" s="16"/>
      <c r="C429" s="16"/>
      <c r="D429" s="16"/>
      <c r="E429" s="17"/>
      <c r="F429" s="40"/>
      <c r="G429" s="16"/>
      <c r="H429" s="16"/>
      <c r="I429" s="17">
        <f>IF($A429="",0,SUMIFS('Daily Transactions'!$F$6:$F$500,'Daily Transactions'!$I$6:$I$500,$O429,'Daily Transactions'!$C$6:$C$500,"Expense"))</f>
        <v>0</v>
      </c>
      <c r="J429" s="17" t="str">
        <f t="shared" si="2"/>
        <v/>
      </c>
      <c r="K429" s="29" t="str">
        <f t="shared" si="3"/>
        <v/>
      </c>
      <c r="L429" s="29" t="str">
        <f t="shared" si="4"/>
        <v/>
      </c>
      <c r="M429" s="49" t="str">
        <f>IF($A429="","",IF(I429&gt;=E429,MAXIFS('Daily Transactions'!$A$6:$A$500,'Daily Transactions'!$I$6:$I$500,$O429,'Daily Transactions'!$C$6:$C$500,"Expense"),""))</f>
        <v/>
      </c>
      <c r="N429" s="16"/>
      <c r="O429" s="26" t="str">
        <f t="shared" si="5"/>
        <v/>
      </c>
      <c r="P429" s="16"/>
    </row>
    <row r="430" ht="15.0" customHeight="1">
      <c r="A430" s="60" t="str">
        <f t="shared" si="1"/>
        <v/>
      </c>
      <c r="B430" s="33"/>
      <c r="C430" s="33"/>
      <c r="D430" s="33"/>
      <c r="E430" s="61"/>
      <c r="F430" s="32"/>
      <c r="G430" s="33"/>
      <c r="H430" s="33"/>
      <c r="I430" s="61">
        <f>IF($A430="",0,SUMIFS('Daily Transactions'!$F$6:$F$500,'Daily Transactions'!$I$6:$I$500,$O430,'Daily Transactions'!$C$6:$C$500,"Expense"))</f>
        <v>0</v>
      </c>
      <c r="J430" s="61" t="str">
        <f t="shared" si="2"/>
        <v/>
      </c>
      <c r="K430" s="60" t="str">
        <f t="shared" si="3"/>
        <v/>
      </c>
      <c r="L430" s="60" t="str">
        <f t="shared" si="4"/>
        <v/>
      </c>
      <c r="M430" s="56" t="str">
        <f>IF($A430="","",IF(I430&gt;=E430,MAXIFS('Daily Transactions'!$A$6:$A$500,'Daily Transactions'!$I$6:$I$500,$O430,'Daily Transactions'!$C$6:$C$500,"Expense"),""))</f>
        <v/>
      </c>
      <c r="N430" s="33"/>
      <c r="O430" s="26" t="str">
        <f t="shared" si="5"/>
        <v/>
      </c>
      <c r="P430" s="33"/>
    </row>
    <row r="431" ht="15.0" customHeight="1">
      <c r="A431" s="29" t="str">
        <f t="shared" si="1"/>
        <v/>
      </c>
      <c r="B431" s="16"/>
      <c r="C431" s="16"/>
      <c r="D431" s="16"/>
      <c r="E431" s="17"/>
      <c r="F431" s="40"/>
      <c r="G431" s="16"/>
      <c r="H431" s="16"/>
      <c r="I431" s="17">
        <f>IF($A431="",0,SUMIFS('Daily Transactions'!$F$6:$F$500,'Daily Transactions'!$I$6:$I$500,$O431,'Daily Transactions'!$C$6:$C$500,"Expense"))</f>
        <v>0</v>
      </c>
      <c r="J431" s="17" t="str">
        <f t="shared" si="2"/>
        <v/>
      </c>
      <c r="K431" s="29" t="str">
        <f t="shared" si="3"/>
        <v/>
      </c>
      <c r="L431" s="29" t="str">
        <f t="shared" si="4"/>
        <v/>
      </c>
      <c r="M431" s="49" t="str">
        <f>IF($A431="","",IF(I431&gt;=E431,MAXIFS('Daily Transactions'!$A$6:$A$500,'Daily Transactions'!$I$6:$I$500,$O431,'Daily Transactions'!$C$6:$C$500,"Expense"),""))</f>
        <v/>
      </c>
      <c r="N431" s="16"/>
      <c r="O431" s="26" t="str">
        <f t="shared" si="5"/>
        <v/>
      </c>
      <c r="P431" s="16"/>
    </row>
    <row r="432" ht="15.0" customHeight="1">
      <c r="A432" s="60" t="str">
        <f t="shared" si="1"/>
        <v/>
      </c>
      <c r="B432" s="33"/>
      <c r="C432" s="33"/>
      <c r="D432" s="33"/>
      <c r="E432" s="61"/>
      <c r="F432" s="32"/>
      <c r="G432" s="33"/>
      <c r="H432" s="33"/>
      <c r="I432" s="61">
        <f>IF($A432="",0,SUMIFS('Daily Transactions'!$F$6:$F$500,'Daily Transactions'!$I$6:$I$500,$O432,'Daily Transactions'!$C$6:$C$500,"Expense"))</f>
        <v>0</v>
      </c>
      <c r="J432" s="61" t="str">
        <f t="shared" si="2"/>
        <v/>
      </c>
      <c r="K432" s="60" t="str">
        <f t="shared" si="3"/>
        <v/>
      </c>
      <c r="L432" s="60" t="str">
        <f t="shared" si="4"/>
        <v/>
      </c>
      <c r="M432" s="56" t="str">
        <f>IF($A432="","",IF(I432&gt;=E432,MAXIFS('Daily Transactions'!$A$6:$A$500,'Daily Transactions'!$I$6:$I$500,$O432,'Daily Transactions'!$C$6:$C$500,"Expense"),""))</f>
        <v/>
      </c>
      <c r="N432" s="33"/>
      <c r="O432" s="26" t="str">
        <f t="shared" si="5"/>
        <v/>
      </c>
      <c r="P432" s="33"/>
    </row>
    <row r="433" ht="15.0" customHeight="1">
      <c r="A433" s="29" t="str">
        <f t="shared" si="1"/>
        <v/>
      </c>
      <c r="B433" s="16"/>
      <c r="C433" s="16"/>
      <c r="D433" s="16"/>
      <c r="E433" s="17"/>
      <c r="F433" s="40"/>
      <c r="G433" s="16"/>
      <c r="H433" s="16"/>
      <c r="I433" s="17">
        <f>IF($A433="",0,SUMIFS('Daily Transactions'!$F$6:$F$500,'Daily Transactions'!$I$6:$I$500,$O433,'Daily Transactions'!$C$6:$C$500,"Expense"))</f>
        <v>0</v>
      </c>
      <c r="J433" s="17" t="str">
        <f t="shared" si="2"/>
        <v/>
      </c>
      <c r="K433" s="29" t="str">
        <f t="shared" si="3"/>
        <v/>
      </c>
      <c r="L433" s="29" t="str">
        <f t="shared" si="4"/>
        <v/>
      </c>
      <c r="M433" s="49" t="str">
        <f>IF($A433="","",IF(I433&gt;=E433,MAXIFS('Daily Transactions'!$A$6:$A$500,'Daily Transactions'!$I$6:$I$500,$O433,'Daily Transactions'!$C$6:$C$500,"Expense"),""))</f>
        <v/>
      </c>
      <c r="N433" s="16"/>
      <c r="O433" s="26" t="str">
        <f t="shared" si="5"/>
        <v/>
      </c>
      <c r="P433" s="16"/>
    </row>
    <row r="434" ht="15.0" customHeight="1">
      <c r="A434" s="60" t="str">
        <f t="shared" si="1"/>
        <v/>
      </c>
      <c r="B434" s="33"/>
      <c r="C434" s="33"/>
      <c r="D434" s="33"/>
      <c r="E434" s="61"/>
      <c r="F434" s="32"/>
      <c r="G434" s="33"/>
      <c r="H434" s="33"/>
      <c r="I434" s="61">
        <f>IF($A434="",0,SUMIFS('Daily Transactions'!$F$6:$F$500,'Daily Transactions'!$I$6:$I$500,$O434,'Daily Transactions'!$C$6:$C$500,"Expense"))</f>
        <v>0</v>
      </c>
      <c r="J434" s="61" t="str">
        <f t="shared" si="2"/>
        <v/>
      </c>
      <c r="K434" s="60" t="str">
        <f t="shared" si="3"/>
        <v/>
      </c>
      <c r="L434" s="60" t="str">
        <f t="shared" si="4"/>
        <v/>
      </c>
      <c r="M434" s="56" t="str">
        <f>IF($A434="","",IF(I434&gt;=E434,MAXIFS('Daily Transactions'!$A$6:$A$500,'Daily Transactions'!$I$6:$I$500,$O434,'Daily Transactions'!$C$6:$C$500,"Expense"),""))</f>
        <v/>
      </c>
      <c r="N434" s="33"/>
      <c r="O434" s="26" t="str">
        <f t="shared" si="5"/>
        <v/>
      </c>
      <c r="P434" s="33"/>
    </row>
    <row r="435" ht="15.0" customHeight="1">
      <c r="A435" s="29" t="str">
        <f t="shared" si="1"/>
        <v/>
      </c>
      <c r="B435" s="16"/>
      <c r="C435" s="16"/>
      <c r="D435" s="16"/>
      <c r="E435" s="17"/>
      <c r="F435" s="40"/>
      <c r="G435" s="16"/>
      <c r="H435" s="16"/>
      <c r="I435" s="17">
        <f>IF($A435="",0,SUMIFS('Daily Transactions'!$F$6:$F$500,'Daily Transactions'!$I$6:$I$500,$O435,'Daily Transactions'!$C$6:$C$500,"Expense"))</f>
        <v>0</v>
      </c>
      <c r="J435" s="17" t="str">
        <f t="shared" si="2"/>
        <v/>
      </c>
      <c r="K435" s="29" t="str">
        <f t="shared" si="3"/>
        <v/>
      </c>
      <c r="L435" s="29" t="str">
        <f t="shared" si="4"/>
        <v/>
      </c>
      <c r="M435" s="49" t="str">
        <f>IF($A435="","",IF(I435&gt;=E435,MAXIFS('Daily Transactions'!$A$6:$A$500,'Daily Transactions'!$I$6:$I$500,$O435,'Daily Transactions'!$C$6:$C$500,"Expense"),""))</f>
        <v/>
      </c>
      <c r="N435" s="16"/>
      <c r="O435" s="26" t="str">
        <f t="shared" si="5"/>
        <v/>
      </c>
      <c r="P435" s="16"/>
    </row>
    <row r="436" ht="15.0" customHeight="1">
      <c r="A436" s="60" t="str">
        <f t="shared" si="1"/>
        <v/>
      </c>
      <c r="B436" s="33"/>
      <c r="C436" s="33"/>
      <c r="D436" s="33"/>
      <c r="E436" s="61"/>
      <c r="F436" s="32"/>
      <c r="G436" s="33"/>
      <c r="H436" s="33"/>
      <c r="I436" s="61">
        <f>IF($A436="",0,SUMIFS('Daily Transactions'!$F$6:$F$500,'Daily Transactions'!$I$6:$I$500,$O436,'Daily Transactions'!$C$6:$C$500,"Expense"))</f>
        <v>0</v>
      </c>
      <c r="J436" s="61" t="str">
        <f t="shared" si="2"/>
        <v/>
      </c>
      <c r="K436" s="60" t="str">
        <f t="shared" si="3"/>
        <v/>
      </c>
      <c r="L436" s="60" t="str">
        <f t="shared" si="4"/>
        <v/>
      </c>
      <c r="M436" s="56" t="str">
        <f>IF($A436="","",IF(I436&gt;=E436,MAXIFS('Daily Transactions'!$A$6:$A$500,'Daily Transactions'!$I$6:$I$500,$O436,'Daily Transactions'!$C$6:$C$500,"Expense"),""))</f>
        <v/>
      </c>
      <c r="N436" s="33"/>
      <c r="O436" s="26" t="str">
        <f t="shared" si="5"/>
        <v/>
      </c>
      <c r="P436" s="33"/>
    </row>
    <row r="437" ht="15.0" customHeight="1">
      <c r="A437" s="29" t="str">
        <f t="shared" si="1"/>
        <v/>
      </c>
      <c r="B437" s="16"/>
      <c r="C437" s="16"/>
      <c r="D437" s="16"/>
      <c r="E437" s="17"/>
      <c r="F437" s="40"/>
      <c r="G437" s="16"/>
      <c r="H437" s="16"/>
      <c r="I437" s="17">
        <f>IF($A437="",0,SUMIFS('Daily Transactions'!$F$6:$F$500,'Daily Transactions'!$I$6:$I$500,$O437,'Daily Transactions'!$C$6:$C$500,"Expense"))</f>
        <v>0</v>
      </c>
      <c r="J437" s="17" t="str">
        <f t="shared" si="2"/>
        <v/>
      </c>
      <c r="K437" s="29" t="str">
        <f t="shared" si="3"/>
        <v/>
      </c>
      <c r="L437" s="29" t="str">
        <f t="shared" si="4"/>
        <v/>
      </c>
      <c r="M437" s="49" t="str">
        <f>IF($A437="","",IF(I437&gt;=E437,MAXIFS('Daily Transactions'!$A$6:$A$500,'Daily Transactions'!$I$6:$I$500,$O437,'Daily Transactions'!$C$6:$C$500,"Expense"),""))</f>
        <v/>
      </c>
      <c r="N437" s="16"/>
      <c r="O437" s="26" t="str">
        <f t="shared" si="5"/>
        <v/>
      </c>
      <c r="P437" s="16"/>
    </row>
    <row r="438" ht="15.0" customHeight="1">
      <c r="A438" s="60" t="str">
        <f t="shared" si="1"/>
        <v/>
      </c>
      <c r="B438" s="33"/>
      <c r="C438" s="33"/>
      <c r="D438" s="33"/>
      <c r="E438" s="61"/>
      <c r="F438" s="32"/>
      <c r="G438" s="33"/>
      <c r="H438" s="33"/>
      <c r="I438" s="61">
        <f>IF($A438="",0,SUMIFS('Daily Transactions'!$F$6:$F$500,'Daily Transactions'!$I$6:$I$500,$O438,'Daily Transactions'!$C$6:$C$500,"Expense"))</f>
        <v>0</v>
      </c>
      <c r="J438" s="61" t="str">
        <f t="shared" si="2"/>
        <v/>
      </c>
      <c r="K438" s="60" t="str">
        <f t="shared" si="3"/>
        <v/>
      </c>
      <c r="L438" s="60" t="str">
        <f t="shared" si="4"/>
        <v/>
      </c>
      <c r="M438" s="56" t="str">
        <f>IF($A438="","",IF(I438&gt;=E438,MAXIFS('Daily Transactions'!$A$6:$A$500,'Daily Transactions'!$I$6:$I$500,$O438,'Daily Transactions'!$C$6:$C$500,"Expense"),""))</f>
        <v/>
      </c>
      <c r="N438" s="33"/>
      <c r="O438" s="26" t="str">
        <f t="shared" si="5"/>
        <v/>
      </c>
      <c r="P438" s="33"/>
    </row>
    <row r="439" ht="15.0" customHeight="1">
      <c r="A439" s="29" t="str">
        <f t="shared" si="1"/>
        <v/>
      </c>
      <c r="B439" s="16"/>
      <c r="C439" s="16"/>
      <c r="D439" s="16"/>
      <c r="E439" s="17"/>
      <c r="F439" s="40"/>
      <c r="G439" s="16"/>
      <c r="H439" s="16"/>
      <c r="I439" s="17">
        <f>IF($A439="",0,SUMIFS('Daily Transactions'!$F$6:$F$500,'Daily Transactions'!$I$6:$I$500,$O439,'Daily Transactions'!$C$6:$C$500,"Expense"))</f>
        <v>0</v>
      </c>
      <c r="J439" s="17" t="str">
        <f t="shared" si="2"/>
        <v/>
      </c>
      <c r="K439" s="29" t="str">
        <f t="shared" si="3"/>
        <v/>
      </c>
      <c r="L439" s="29" t="str">
        <f t="shared" si="4"/>
        <v/>
      </c>
      <c r="M439" s="49" t="str">
        <f>IF($A439="","",IF(I439&gt;=E439,MAXIFS('Daily Transactions'!$A$6:$A$500,'Daily Transactions'!$I$6:$I$500,$O439,'Daily Transactions'!$C$6:$C$500,"Expense"),""))</f>
        <v/>
      </c>
      <c r="N439" s="16"/>
      <c r="O439" s="26" t="str">
        <f t="shared" si="5"/>
        <v/>
      </c>
      <c r="P439" s="16"/>
    </row>
    <row r="440" ht="15.0" customHeight="1">
      <c r="A440" s="60" t="str">
        <f t="shared" si="1"/>
        <v/>
      </c>
      <c r="B440" s="33"/>
      <c r="C440" s="33"/>
      <c r="D440" s="33"/>
      <c r="E440" s="61"/>
      <c r="F440" s="32"/>
      <c r="G440" s="33"/>
      <c r="H440" s="33"/>
      <c r="I440" s="61">
        <f>IF($A440="",0,SUMIFS('Daily Transactions'!$F$6:$F$500,'Daily Transactions'!$I$6:$I$500,$O440,'Daily Transactions'!$C$6:$C$500,"Expense"))</f>
        <v>0</v>
      </c>
      <c r="J440" s="61" t="str">
        <f t="shared" si="2"/>
        <v/>
      </c>
      <c r="K440" s="60" t="str">
        <f t="shared" si="3"/>
        <v/>
      </c>
      <c r="L440" s="60" t="str">
        <f t="shared" si="4"/>
        <v/>
      </c>
      <c r="M440" s="56" t="str">
        <f>IF($A440="","",IF(I440&gt;=E440,MAXIFS('Daily Transactions'!$A$6:$A$500,'Daily Transactions'!$I$6:$I$500,$O440,'Daily Transactions'!$C$6:$C$500,"Expense"),""))</f>
        <v/>
      </c>
      <c r="N440" s="33"/>
      <c r="O440" s="26" t="str">
        <f t="shared" si="5"/>
        <v/>
      </c>
      <c r="P440" s="33"/>
    </row>
    <row r="441" ht="15.0" customHeight="1">
      <c r="A441" s="29" t="str">
        <f t="shared" si="1"/>
        <v/>
      </c>
      <c r="B441" s="16"/>
      <c r="C441" s="16"/>
      <c r="D441" s="16"/>
      <c r="E441" s="17"/>
      <c r="F441" s="40"/>
      <c r="G441" s="16"/>
      <c r="H441" s="16"/>
      <c r="I441" s="17">
        <f>IF($A441="",0,SUMIFS('Daily Transactions'!$F$6:$F$500,'Daily Transactions'!$I$6:$I$500,$O441,'Daily Transactions'!$C$6:$C$500,"Expense"))</f>
        <v>0</v>
      </c>
      <c r="J441" s="17" t="str">
        <f t="shared" si="2"/>
        <v/>
      </c>
      <c r="K441" s="29" t="str">
        <f t="shared" si="3"/>
        <v/>
      </c>
      <c r="L441" s="29" t="str">
        <f t="shared" si="4"/>
        <v/>
      </c>
      <c r="M441" s="49" t="str">
        <f>IF($A441="","",IF(I441&gt;=E441,MAXIFS('Daily Transactions'!$A$6:$A$500,'Daily Transactions'!$I$6:$I$500,$O441,'Daily Transactions'!$C$6:$C$500,"Expense"),""))</f>
        <v/>
      </c>
      <c r="N441" s="16"/>
      <c r="O441" s="26" t="str">
        <f t="shared" si="5"/>
        <v/>
      </c>
      <c r="P441" s="16"/>
    </row>
    <row r="442" ht="15.0" customHeight="1">
      <c r="A442" s="60" t="str">
        <f t="shared" si="1"/>
        <v/>
      </c>
      <c r="B442" s="33"/>
      <c r="C442" s="33"/>
      <c r="D442" s="33"/>
      <c r="E442" s="61"/>
      <c r="F442" s="32"/>
      <c r="G442" s="33"/>
      <c r="H442" s="33"/>
      <c r="I442" s="61">
        <f>IF($A442="",0,SUMIFS('Daily Transactions'!$F$6:$F$500,'Daily Transactions'!$I$6:$I$500,$O442,'Daily Transactions'!$C$6:$C$500,"Expense"))</f>
        <v>0</v>
      </c>
      <c r="J442" s="61" t="str">
        <f t="shared" si="2"/>
        <v/>
      </c>
      <c r="K442" s="60" t="str">
        <f t="shared" si="3"/>
        <v/>
      </c>
      <c r="L442" s="60" t="str">
        <f t="shared" si="4"/>
        <v/>
      </c>
      <c r="M442" s="56" t="str">
        <f>IF($A442="","",IF(I442&gt;=E442,MAXIFS('Daily Transactions'!$A$6:$A$500,'Daily Transactions'!$I$6:$I$500,$O442,'Daily Transactions'!$C$6:$C$500,"Expense"),""))</f>
        <v/>
      </c>
      <c r="N442" s="33"/>
      <c r="O442" s="26" t="str">
        <f t="shared" si="5"/>
        <v/>
      </c>
      <c r="P442" s="33"/>
    </row>
    <row r="443" ht="15.0" customHeight="1">
      <c r="A443" s="29" t="str">
        <f t="shared" si="1"/>
        <v/>
      </c>
      <c r="B443" s="16"/>
      <c r="C443" s="16"/>
      <c r="D443" s="16"/>
      <c r="E443" s="17"/>
      <c r="F443" s="40"/>
      <c r="G443" s="16"/>
      <c r="H443" s="16"/>
      <c r="I443" s="17">
        <f>IF($A443="",0,SUMIFS('Daily Transactions'!$F$6:$F$500,'Daily Transactions'!$I$6:$I$500,$O443,'Daily Transactions'!$C$6:$C$500,"Expense"))</f>
        <v>0</v>
      </c>
      <c r="J443" s="17" t="str">
        <f t="shared" si="2"/>
        <v/>
      </c>
      <c r="K443" s="29" t="str">
        <f t="shared" si="3"/>
        <v/>
      </c>
      <c r="L443" s="29" t="str">
        <f t="shared" si="4"/>
        <v/>
      </c>
      <c r="M443" s="49" t="str">
        <f>IF($A443="","",IF(I443&gt;=E443,MAXIFS('Daily Transactions'!$A$6:$A$500,'Daily Transactions'!$I$6:$I$500,$O443,'Daily Transactions'!$C$6:$C$500,"Expense"),""))</f>
        <v/>
      </c>
      <c r="N443" s="16"/>
      <c r="O443" s="26" t="str">
        <f t="shared" si="5"/>
        <v/>
      </c>
      <c r="P443" s="16"/>
    </row>
    <row r="444" ht="15.0" customHeight="1">
      <c r="A444" s="60" t="str">
        <f t="shared" si="1"/>
        <v/>
      </c>
      <c r="B444" s="33"/>
      <c r="C444" s="33"/>
      <c r="D444" s="33"/>
      <c r="E444" s="61"/>
      <c r="F444" s="32"/>
      <c r="G444" s="33"/>
      <c r="H444" s="33"/>
      <c r="I444" s="61">
        <f>IF($A444="",0,SUMIFS('Daily Transactions'!$F$6:$F$500,'Daily Transactions'!$I$6:$I$500,$O444,'Daily Transactions'!$C$6:$C$500,"Expense"))</f>
        <v>0</v>
      </c>
      <c r="J444" s="61" t="str">
        <f t="shared" si="2"/>
        <v/>
      </c>
      <c r="K444" s="60" t="str">
        <f t="shared" si="3"/>
        <v/>
      </c>
      <c r="L444" s="60" t="str">
        <f t="shared" si="4"/>
        <v/>
      </c>
      <c r="M444" s="56" t="str">
        <f>IF($A444="","",IF(I444&gt;=E444,MAXIFS('Daily Transactions'!$A$6:$A$500,'Daily Transactions'!$I$6:$I$500,$O444,'Daily Transactions'!$C$6:$C$500,"Expense"),""))</f>
        <v/>
      </c>
      <c r="N444" s="33"/>
      <c r="O444" s="26" t="str">
        <f t="shared" si="5"/>
        <v/>
      </c>
      <c r="P444" s="33"/>
    </row>
    <row r="445" ht="15.0" customHeight="1">
      <c r="A445" s="29" t="str">
        <f t="shared" si="1"/>
        <v/>
      </c>
      <c r="B445" s="16"/>
      <c r="C445" s="16"/>
      <c r="D445" s="16"/>
      <c r="E445" s="17"/>
      <c r="F445" s="40"/>
      <c r="G445" s="16"/>
      <c r="H445" s="16"/>
      <c r="I445" s="17">
        <f>IF($A445="",0,SUMIFS('Daily Transactions'!$F$6:$F$500,'Daily Transactions'!$I$6:$I$500,$O445,'Daily Transactions'!$C$6:$C$500,"Expense"))</f>
        <v>0</v>
      </c>
      <c r="J445" s="17" t="str">
        <f t="shared" si="2"/>
        <v/>
      </c>
      <c r="K445" s="29" t="str">
        <f t="shared" si="3"/>
        <v/>
      </c>
      <c r="L445" s="29" t="str">
        <f t="shared" si="4"/>
        <v/>
      </c>
      <c r="M445" s="49" t="str">
        <f>IF($A445="","",IF(I445&gt;=E445,MAXIFS('Daily Transactions'!$A$6:$A$500,'Daily Transactions'!$I$6:$I$500,$O445,'Daily Transactions'!$C$6:$C$500,"Expense"),""))</f>
        <v/>
      </c>
      <c r="N445" s="16"/>
      <c r="O445" s="26" t="str">
        <f t="shared" si="5"/>
        <v/>
      </c>
      <c r="P445" s="16"/>
    </row>
    <row r="446" ht="15.0" customHeight="1">
      <c r="A446" s="60" t="str">
        <f t="shared" si="1"/>
        <v/>
      </c>
      <c r="B446" s="33"/>
      <c r="C446" s="33"/>
      <c r="D446" s="33"/>
      <c r="E446" s="61"/>
      <c r="F446" s="32"/>
      <c r="G446" s="33"/>
      <c r="H446" s="33"/>
      <c r="I446" s="61">
        <f>IF($A446="",0,SUMIFS('Daily Transactions'!$F$6:$F$500,'Daily Transactions'!$I$6:$I$500,$O446,'Daily Transactions'!$C$6:$C$500,"Expense"))</f>
        <v>0</v>
      </c>
      <c r="J446" s="61" t="str">
        <f t="shared" si="2"/>
        <v/>
      </c>
      <c r="K446" s="60" t="str">
        <f t="shared" si="3"/>
        <v/>
      </c>
      <c r="L446" s="60" t="str">
        <f t="shared" si="4"/>
        <v/>
      </c>
      <c r="M446" s="56" t="str">
        <f>IF($A446="","",IF(I446&gt;=E446,MAXIFS('Daily Transactions'!$A$6:$A$500,'Daily Transactions'!$I$6:$I$500,$O446,'Daily Transactions'!$C$6:$C$500,"Expense"),""))</f>
        <v/>
      </c>
      <c r="N446" s="33"/>
      <c r="O446" s="26" t="str">
        <f t="shared" si="5"/>
        <v/>
      </c>
      <c r="P446" s="33"/>
    </row>
    <row r="447" ht="15.0" customHeight="1">
      <c r="A447" s="29" t="str">
        <f t="shared" si="1"/>
        <v/>
      </c>
      <c r="B447" s="16"/>
      <c r="C447" s="16"/>
      <c r="D447" s="16"/>
      <c r="E447" s="17"/>
      <c r="F447" s="40"/>
      <c r="G447" s="16"/>
      <c r="H447" s="16"/>
      <c r="I447" s="17">
        <f>IF($A447="",0,SUMIFS('Daily Transactions'!$F$6:$F$500,'Daily Transactions'!$I$6:$I$500,$O447,'Daily Transactions'!$C$6:$C$500,"Expense"))</f>
        <v>0</v>
      </c>
      <c r="J447" s="17" t="str">
        <f t="shared" si="2"/>
        <v/>
      </c>
      <c r="K447" s="29" t="str">
        <f t="shared" si="3"/>
        <v/>
      </c>
      <c r="L447" s="29" t="str">
        <f t="shared" si="4"/>
        <v/>
      </c>
      <c r="M447" s="49" t="str">
        <f>IF($A447="","",IF(I447&gt;=E447,MAXIFS('Daily Transactions'!$A$6:$A$500,'Daily Transactions'!$I$6:$I$500,$O447,'Daily Transactions'!$C$6:$C$500,"Expense"),""))</f>
        <v/>
      </c>
      <c r="N447" s="16"/>
      <c r="O447" s="26" t="str">
        <f t="shared" si="5"/>
        <v/>
      </c>
      <c r="P447" s="16"/>
    </row>
    <row r="448" ht="15.0" customHeight="1">
      <c r="A448" s="60" t="str">
        <f t="shared" si="1"/>
        <v/>
      </c>
      <c r="B448" s="33"/>
      <c r="C448" s="33"/>
      <c r="D448" s="33"/>
      <c r="E448" s="61"/>
      <c r="F448" s="32"/>
      <c r="G448" s="33"/>
      <c r="H448" s="33"/>
      <c r="I448" s="61">
        <f>IF($A448="",0,SUMIFS('Daily Transactions'!$F$6:$F$500,'Daily Transactions'!$I$6:$I$500,$O448,'Daily Transactions'!$C$6:$C$500,"Expense"))</f>
        <v>0</v>
      </c>
      <c r="J448" s="61" t="str">
        <f t="shared" si="2"/>
        <v/>
      </c>
      <c r="K448" s="60" t="str">
        <f t="shared" si="3"/>
        <v/>
      </c>
      <c r="L448" s="60" t="str">
        <f t="shared" si="4"/>
        <v/>
      </c>
      <c r="M448" s="56" t="str">
        <f>IF($A448="","",IF(I448&gt;=E448,MAXIFS('Daily Transactions'!$A$6:$A$500,'Daily Transactions'!$I$6:$I$500,$O448,'Daily Transactions'!$C$6:$C$500,"Expense"),""))</f>
        <v/>
      </c>
      <c r="N448" s="33"/>
      <c r="O448" s="26" t="str">
        <f t="shared" si="5"/>
        <v/>
      </c>
      <c r="P448" s="33"/>
    </row>
    <row r="449" ht="15.0" customHeight="1">
      <c r="A449" s="29" t="str">
        <f t="shared" si="1"/>
        <v/>
      </c>
      <c r="B449" s="16"/>
      <c r="C449" s="16"/>
      <c r="D449" s="16"/>
      <c r="E449" s="17"/>
      <c r="F449" s="40"/>
      <c r="G449" s="16"/>
      <c r="H449" s="16"/>
      <c r="I449" s="17">
        <f>IF($A449="",0,SUMIFS('Daily Transactions'!$F$6:$F$500,'Daily Transactions'!$I$6:$I$500,$O449,'Daily Transactions'!$C$6:$C$500,"Expense"))</f>
        <v>0</v>
      </c>
      <c r="J449" s="17" t="str">
        <f t="shared" si="2"/>
        <v/>
      </c>
      <c r="K449" s="29" t="str">
        <f t="shared" si="3"/>
        <v/>
      </c>
      <c r="L449" s="29" t="str">
        <f t="shared" si="4"/>
        <v/>
      </c>
      <c r="M449" s="49" t="str">
        <f>IF($A449="","",IF(I449&gt;=E449,MAXIFS('Daily Transactions'!$A$6:$A$500,'Daily Transactions'!$I$6:$I$500,$O449,'Daily Transactions'!$C$6:$C$500,"Expense"),""))</f>
        <v/>
      </c>
      <c r="N449" s="16"/>
      <c r="O449" s="26" t="str">
        <f t="shared" si="5"/>
        <v/>
      </c>
      <c r="P449" s="16"/>
    </row>
    <row r="450" ht="15.0" customHeight="1">
      <c r="A450" s="60" t="str">
        <f t="shared" si="1"/>
        <v/>
      </c>
      <c r="B450" s="33"/>
      <c r="C450" s="33"/>
      <c r="D450" s="33"/>
      <c r="E450" s="61"/>
      <c r="F450" s="32"/>
      <c r="G450" s="33"/>
      <c r="H450" s="33"/>
      <c r="I450" s="61">
        <f>IF($A450="",0,SUMIFS('Daily Transactions'!$F$6:$F$500,'Daily Transactions'!$I$6:$I$500,$O450,'Daily Transactions'!$C$6:$C$500,"Expense"))</f>
        <v>0</v>
      </c>
      <c r="J450" s="61" t="str">
        <f t="shared" si="2"/>
        <v/>
      </c>
      <c r="K450" s="60" t="str">
        <f t="shared" si="3"/>
        <v/>
      </c>
      <c r="L450" s="60" t="str">
        <f t="shared" si="4"/>
        <v/>
      </c>
      <c r="M450" s="56" t="str">
        <f>IF($A450="","",IF(I450&gt;=E450,MAXIFS('Daily Transactions'!$A$6:$A$500,'Daily Transactions'!$I$6:$I$500,$O450,'Daily Transactions'!$C$6:$C$500,"Expense"),""))</f>
        <v/>
      </c>
      <c r="N450" s="33"/>
      <c r="O450" s="26" t="str">
        <f t="shared" si="5"/>
        <v/>
      </c>
      <c r="P450" s="33"/>
    </row>
    <row r="451" ht="15.0" customHeight="1">
      <c r="A451" s="29" t="str">
        <f t="shared" si="1"/>
        <v/>
      </c>
      <c r="B451" s="16"/>
      <c r="C451" s="16"/>
      <c r="D451" s="16"/>
      <c r="E451" s="17"/>
      <c r="F451" s="40"/>
      <c r="G451" s="16"/>
      <c r="H451" s="16"/>
      <c r="I451" s="17">
        <f>IF($A451="",0,SUMIFS('Daily Transactions'!$F$6:$F$500,'Daily Transactions'!$I$6:$I$500,$O451,'Daily Transactions'!$C$6:$C$500,"Expense"))</f>
        <v>0</v>
      </c>
      <c r="J451" s="17" t="str">
        <f t="shared" si="2"/>
        <v/>
      </c>
      <c r="K451" s="29" t="str">
        <f t="shared" si="3"/>
        <v/>
      </c>
      <c r="L451" s="29" t="str">
        <f t="shared" si="4"/>
        <v/>
      </c>
      <c r="M451" s="49" t="str">
        <f>IF($A451="","",IF(I451&gt;=E451,MAXIFS('Daily Transactions'!$A$6:$A$500,'Daily Transactions'!$I$6:$I$500,$O451,'Daily Transactions'!$C$6:$C$500,"Expense"),""))</f>
        <v/>
      </c>
      <c r="N451" s="16"/>
      <c r="O451" s="26" t="str">
        <f t="shared" si="5"/>
        <v/>
      </c>
      <c r="P451" s="16"/>
    </row>
    <row r="452" ht="15.0" customHeight="1">
      <c r="A452" s="60" t="str">
        <f t="shared" si="1"/>
        <v/>
      </c>
      <c r="B452" s="33"/>
      <c r="C452" s="33"/>
      <c r="D452" s="33"/>
      <c r="E452" s="61"/>
      <c r="F452" s="32"/>
      <c r="G452" s="33"/>
      <c r="H452" s="33"/>
      <c r="I452" s="61">
        <f>IF($A452="",0,SUMIFS('Daily Transactions'!$F$6:$F$500,'Daily Transactions'!$I$6:$I$500,$O452,'Daily Transactions'!$C$6:$C$500,"Expense"))</f>
        <v>0</v>
      </c>
      <c r="J452" s="61" t="str">
        <f t="shared" si="2"/>
        <v/>
      </c>
      <c r="K452" s="60" t="str">
        <f t="shared" si="3"/>
        <v/>
      </c>
      <c r="L452" s="60" t="str">
        <f t="shared" si="4"/>
        <v/>
      </c>
      <c r="M452" s="56" t="str">
        <f>IF($A452="","",IF(I452&gt;=E452,MAXIFS('Daily Transactions'!$A$6:$A$500,'Daily Transactions'!$I$6:$I$500,$O452,'Daily Transactions'!$C$6:$C$500,"Expense"),""))</f>
        <v/>
      </c>
      <c r="N452" s="33"/>
      <c r="O452" s="26" t="str">
        <f t="shared" si="5"/>
        <v/>
      </c>
      <c r="P452" s="33"/>
    </row>
    <row r="453" ht="15.0" customHeight="1">
      <c r="A453" s="29" t="str">
        <f t="shared" si="1"/>
        <v/>
      </c>
      <c r="B453" s="16"/>
      <c r="C453" s="16"/>
      <c r="D453" s="16"/>
      <c r="E453" s="17"/>
      <c r="F453" s="40"/>
      <c r="G453" s="16"/>
      <c r="H453" s="16"/>
      <c r="I453" s="17">
        <f>IF($A453="",0,SUMIFS('Daily Transactions'!$F$6:$F$500,'Daily Transactions'!$I$6:$I$500,$O453,'Daily Transactions'!$C$6:$C$500,"Expense"))</f>
        <v>0</v>
      </c>
      <c r="J453" s="17" t="str">
        <f t="shared" si="2"/>
        <v/>
      </c>
      <c r="K453" s="29" t="str">
        <f t="shared" si="3"/>
        <v/>
      </c>
      <c r="L453" s="29" t="str">
        <f t="shared" si="4"/>
        <v/>
      </c>
      <c r="M453" s="49" t="str">
        <f>IF($A453="","",IF(I453&gt;=E453,MAXIFS('Daily Transactions'!$A$6:$A$500,'Daily Transactions'!$I$6:$I$500,$O453,'Daily Transactions'!$C$6:$C$500,"Expense"),""))</f>
        <v/>
      </c>
      <c r="N453" s="16"/>
      <c r="O453" s="26" t="str">
        <f t="shared" si="5"/>
        <v/>
      </c>
      <c r="P453" s="16"/>
    </row>
    <row r="454" ht="15.0" customHeight="1">
      <c r="A454" s="60" t="str">
        <f t="shared" si="1"/>
        <v/>
      </c>
      <c r="B454" s="33"/>
      <c r="C454" s="33"/>
      <c r="D454" s="33"/>
      <c r="E454" s="61"/>
      <c r="F454" s="32"/>
      <c r="G454" s="33"/>
      <c r="H454" s="33"/>
      <c r="I454" s="61">
        <f>IF($A454="",0,SUMIFS('Daily Transactions'!$F$6:$F$500,'Daily Transactions'!$I$6:$I$500,$O454,'Daily Transactions'!$C$6:$C$500,"Expense"))</f>
        <v>0</v>
      </c>
      <c r="J454" s="61" t="str">
        <f t="shared" si="2"/>
        <v/>
      </c>
      <c r="K454" s="60" t="str">
        <f t="shared" si="3"/>
        <v/>
      </c>
      <c r="L454" s="60" t="str">
        <f t="shared" si="4"/>
        <v/>
      </c>
      <c r="M454" s="56" t="str">
        <f>IF($A454="","",IF(I454&gt;=E454,MAXIFS('Daily Transactions'!$A$6:$A$500,'Daily Transactions'!$I$6:$I$500,$O454,'Daily Transactions'!$C$6:$C$500,"Expense"),""))</f>
        <v/>
      </c>
      <c r="N454" s="33"/>
      <c r="O454" s="26" t="str">
        <f t="shared" si="5"/>
        <v/>
      </c>
      <c r="P454" s="33"/>
    </row>
    <row r="455" ht="15.0" customHeight="1">
      <c r="A455" s="29" t="str">
        <f t="shared" si="1"/>
        <v/>
      </c>
      <c r="B455" s="16"/>
      <c r="C455" s="16"/>
      <c r="D455" s="16"/>
      <c r="E455" s="17"/>
      <c r="F455" s="40"/>
      <c r="G455" s="16"/>
      <c r="H455" s="16"/>
      <c r="I455" s="17">
        <f>IF($A455="",0,SUMIFS('Daily Transactions'!$F$6:$F$500,'Daily Transactions'!$I$6:$I$500,$O455,'Daily Transactions'!$C$6:$C$500,"Expense"))</f>
        <v>0</v>
      </c>
      <c r="J455" s="17" t="str">
        <f t="shared" si="2"/>
        <v/>
      </c>
      <c r="K455" s="29" t="str">
        <f t="shared" si="3"/>
        <v/>
      </c>
      <c r="L455" s="29" t="str">
        <f t="shared" si="4"/>
        <v/>
      </c>
      <c r="M455" s="49" t="str">
        <f>IF($A455="","",IF(I455&gt;=E455,MAXIFS('Daily Transactions'!$A$6:$A$500,'Daily Transactions'!$I$6:$I$500,$O455,'Daily Transactions'!$C$6:$C$500,"Expense"),""))</f>
        <v/>
      </c>
      <c r="N455" s="16"/>
      <c r="O455" s="26" t="str">
        <f t="shared" si="5"/>
        <v/>
      </c>
      <c r="P455" s="16"/>
    </row>
    <row r="456" ht="15.0" customHeight="1">
      <c r="A456" s="60" t="str">
        <f t="shared" si="1"/>
        <v/>
      </c>
      <c r="B456" s="33"/>
      <c r="C456" s="33"/>
      <c r="D456" s="33"/>
      <c r="E456" s="61"/>
      <c r="F456" s="32"/>
      <c r="G456" s="33"/>
      <c r="H456" s="33"/>
      <c r="I456" s="61">
        <f>IF($A456="",0,SUMIFS('Daily Transactions'!$F$6:$F$500,'Daily Transactions'!$I$6:$I$500,$O456,'Daily Transactions'!$C$6:$C$500,"Expense"))</f>
        <v>0</v>
      </c>
      <c r="J456" s="61" t="str">
        <f t="shared" si="2"/>
        <v/>
      </c>
      <c r="K456" s="60" t="str">
        <f t="shared" si="3"/>
        <v/>
      </c>
      <c r="L456" s="60" t="str">
        <f t="shared" si="4"/>
        <v/>
      </c>
      <c r="M456" s="56" t="str">
        <f>IF($A456="","",IF(I456&gt;=E456,MAXIFS('Daily Transactions'!$A$6:$A$500,'Daily Transactions'!$I$6:$I$500,$O456,'Daily Transactions'!$C$6:$C$500,"Expense"),""))</f>
        <v/>
      </c>
      <c r="N456" s="33"/>
      <c r="O456" s="26" t="str">
        <f t="shared" si="5"/>
        <v/>
      </c>
      <c r="P456" s="33"/>
    </row>
    <row r="457" ht="15.0" customHeight="1">
      <c r="A457" s="29" t="str">
        <f t="shared" si="1"/>
        <v/>
      </c>
      <c r="B457" s="16"/>
      <c r="C457" s="16"/>
      <c r="D457" s="16"/>
      <c r="E457" s="17"/>
      <c r="F457" s="40"/>
      <c r="G457" s="16"/>
      <c r="H457" s="16"/>
      <c r="I457" s="17">
        <f>IF($A457="",0,SUMIFS('Daily Transactions'!$F$6:$F$500,'Daily Transactions'!$I$6:$I$500,$O457,'Daily Transactions'!$C$6:$C$500,"Expense"))</f>
        <v>0</v>
      </c>
      <c r="J457" s="17" t="str">
        <f t="shared" si="2"/>
        <v/>
      </c>
      <c r="K457" s="29" t="str">
        <f t="shared" si="3"/>
        <v/>
      </c>
      <c r="L457" s="29" t="str">
        <f t="shared" si="4"/>
        <v/>
      </c>
      <c r="M457" s="49" t="str">
        <f>IF($A457="","",IF(I457&gt;=E457,MAXIFS('Daily Transactions'!$A$6:$A$500,'Daily Transactions'!$I$6:$I$500,$O457,'Daily Transactions'!$C$6:$C$500,"Expense"),""))</f>
        <v/>
      </c>
      <c r="N457" s="16"/>
      <c r="O457" s="26" t="str">
        <f t="shared" si="5"/>
        <v/>
      </c>
      <c r="P457" s="16"/>
    </row>
    <row r="458" ht="15.0" customHeight="1">
      <c r="A458" s="60" t="str">
        <f t="shared" si="1"/>
        <v/>
      </c>
      <c r="B458" s="33"/>
      <c r="C458" s="33"/>
      <c r="D458" s="33"/>
      <c r="E458" s="61"/>
      <c r="F458" s="32"/>
      <c r="G458" s="33"/>
      <c r="H458" s="33"/>
      <c r="I458" s="61">
        <f>IF($A458="",0,SUMIFS('Daily Transactions'!$F$6:$F$500,'Daily Transactions'!$I$6:$I$500,$O458,'Daily Transactions'!$C$6:$C$500,"Expense"))</f>
        <v>0</v>
      </c>
      <c r="J458" s="61" t="str">
        <f t="shared" si="2"/>
        <v/>
      </c>
      <c r="K458" s="60" t="str">
        <f t="shared" si="3"/>
        <v/>
      </c>
      <c r="L458" s="60" t="str">
        <f t="shared" si="4"/>
        <v/>
      </c>
      <c r="M458" s="56" t="str">
        <f>IF($A458="","",IF(I458&gt;=E458,MAXIFS('Daily Transactions'!$A$6:$A$500,'Daily Transactions'!$I$6:$I$500,$O458,'Daily Transactions'!$C$6:$C$500,"Expense"),""))</f>
        <v/>
      </c>
      <c r="N458" s="33"/>
      <c r="O458" s="26" t="str">
        <f t="shared" si="5"/>
        <v/>
      </c>
      <c r="P458" s="33"/>
    </row>
    <row r="459" ht="15.0" customHeight="1">
      <c r="A459" s="29" t="str">
        <f t="shared" si="1"/>
        <v/>
      </c>
      <c r="B459" s="16"/>
      <c r="C459" s="16"/>
      <c r="D459" s="16"/>
      <c r="E459" s="17"/>
      <c r="F459" s="40"/>
      <c r="G459" s="16"/>
      <c r="H459" s="16"/>
      <c r="I459" s="17">
        <f>IF($A459="",0,SUMIFS('Daily Transactions'!$F$6:$F$500,'Daily Transactions'!$I$6:$I$500,$O459,'Daily Transactions'!$C$6:$C$500,"Expense"))</f>
        <v>0</v>
      </c>
      <c r="J459" s="17" t="str">
        <f t="shared" si="2"/>
        <v/>
      </c>
      <c r="K459" s="29" t="str">
        <f t="shared" si="3"/>
        <v/>
      </c>
      <c r="L459" s="29" t="str">
        <f t="shared" si="4"/>
        <v/>
      </c>
      <c r="M459" s="49" t="str">
        <f>IF($A459="","",IF(I459&gt;=E459,MAXIFS('Daily Transactions'!$A$6:$A$500,'Daily Transactions'!$I$6:$I$500,$O459,'Daily Transactions'!$C$6:$C$500,"Expense"),""))</f>
        <v/>
      </c>
      <c r="N459" s="16"/>
      <c r="O459" s="26" t="str">
        <f t="shared" si="5"/>
        <v/>
      </c>
      <c r="P459" s="16"/>
    </row>
    <row r="460" ht="15.0" customHeight="1">
      <c r="A460" s="60" t="str">
        <f t="shared" si="1"/>
        <v/>
      </c>
      <c r="B460" s="33"/>
      <c r="C460" s="33"/>
      <c r="D460" s="33"/>
      <c r="E460" s="61"/>
      <c r="F460" s="32"/>
      <c r="G460" s="33"/>
      <c r="H460" s="33"/>
      <c r="I460" s="61">
        <f>IF($A460="",0,SUMIFS('Daily Transactions'!$F$6:$F$500,'Daily Transactions'!$I$6:$I$500,$O460,'Daily Transactions'!$C$6:$C$500,"Expense"))</f>
        <v>0</v>
      </c>
      <c r="J460" s="61" t="str">
        <f t="shared" si="2"/>
        <v/>
      </c>
      <c r="K460" s="60" t="str">
        <f t="shared" si="3"/>
        <v/>
      </c>
      <c r="L460" s="60" t="str">
        <f t="shared" si="4"/>
        <v/>
      </c>
      <c r="M460" s="56" t="str">
        <f>IF($A460="","",IF(I460&gt;=E460,MAXIFS('Daily Transactions'!$A$6:$A$500,'Daily Transactions'!$I$6:$I$500,$O460,'Daily Transactions'!$C$6:$C$500,"Expense"),""))</f>
        <v/>
      </c>
      <c r="N460" s="33"/>
      <c r="O460" s="26" t="str">
        <f t="shared" si="5"/>
        <v/>
      </c>
      <c r="P460" s="33"/>
    </row>
    <row r="461" ht="15.0" customHeight="1">
      <c r="A461" s="29" t="str">
        <f t="shared" si="1"/>
        <v/>
      </c>
      <c r="B461" s="16"/>
      <c r="C461" s="16"/>
      <c r="D461" s="16"/>
      <c r="E461" s="17"/>
      <c r="F461" s="40"/>
      <c r="G461" s="16"/>
      <c r="H461" s="16"/>
      <c r="I461" s="17">
        <f>IF($A461="",0,SUMIFS('Daily Transactions'!$F$6:$F$500,'Daily Transactions'!$I$6:$I$500,$O461,'Daily Transactions'!$C$6:$C$500,"Expense"))</f>
        <v>0</v>
      </c>
      <c r="J461" s="17" t="str">
        <f t="shared" si="2"/>
        <v/>
      </c>
      <c r="K461" s="29" t="str">
        <f t="shared" si="3"/>
        <v/>
      </c>
      <c r="L461" s="29" t="str">
        <f t="shared" si="4"/>
        <v/>
      </c>
      <c r="M461" s="49" t="str">
        <f>IF($A461="","",IF(I461&gt;=E461,MAXIFS('Daily Transactions'!$A$6:$A$500,'Daily Transactions'!$I$6:$I$500,$O461,'Daily Transactions'!$C$6:$C$500,"Expense"),""))</f>
        <v/>
      </c>
      <c r="N461" s="16"/>
      <c r="O461" s="26" t="str">
        <f t="shared" si="5"/>
        <v/>
      </c>
      <c r="P461" s="16"/>
    </row>
    <row r="462" ht="15.0" customHeight="1">
      <c r="A462" s="60" t="str">
        <f t="shared" si="1"/>
        <v/>
      </c>
      <c r="B462" s="33"/>
      <c r="C462" s="33"/>
      <c r="D462" s="33"/>
      <c r="E462" s="61"/>
      <c r="F462" s="32"/>
      <c r="G462" s="33"/>
      <c r="H462" s="33"/>
      <c r="I462" s="61">
        <f>IF($A462="",0,SUMIFS('Daily Transactions'!$F$6:$F$500,'Daily Transactions'!$I$6:$I$500,$O462,'Daily Transactions'!$C$6:$C$500,"Expense"))</f>
        <v>0</v>
      </c>
      <c r="J462" s="61" t="str">
        <f t="shared" si="2"/>
        <v/>
      </c>
      <c r="K462" s="60" t="str">
        <f t="shared" si="3"/>
        <v/>
      </c>
      <c r="L462" s="60" t="str">
        <f t="shared" si="4"/>
        <v/>
      </c>
      <c r="M462" s="56" t="str">
        <f>IF($A462="","",IF(I462&gt;=E462,MAXIFS('Daily Transactions'!$A$6:$A$500,'Daily Transactions'!$I$6:$I$500,$O462,'Daily Transactions'!$C$6:$C$500,"Expense"),""))</f>
        <v/>
      </c>
      <c r="N462" s="33"/>
      <c r="O462" s="26" t="str">
        <f t="shared" si="5"/>
        <v/>
      </c>
      <c r="P462" s="33"/>
    </row>
    <row r="463" ht="15.0" customHeight="1">
      <c r="A463" s="29" t="str">
        <f t="shared" si="1"/>
        <v/>
      </c>
      <c r="B463" s="16"/>
      <c r="C463" s="16"/>
      <c r="D463" s="16"/>
      <c r="E463" s="17"/>
      <c r="F463" s="40"/>
      <c r="G463" s="16"/>
      <c r="H463" s="16"/>
      <c r="I463" s="17">
        <f>IF($A463="",0,SUMIFS('Daily Transactions'!$F$6:$F$500,'Daily Transactions'!$I$6:$I$500,$O463,'Daily Transactions'!$C$6:$C$500,"Expense"))</f>
        <v>0</v>
      </c>
      <c r="J463" s="17" t="str">
        <f t="shared" si="2"/>
        <v/>
      </c>
      <c r="K463" s="29" t="str">
        <f t="shared" si="3"/>
        <v/>
      </c>
      <c r="L463" s="29" t="str">
        <f t="shared" si="4"/>
        <v/>
      </c>
      <c r="M463" s="49" t="str">
        <f>IF($A463="","",IF(I463&gt;=E463,MAXIFS('Daily Transactions'!$A$6:$A$500,'Daily Transactions'!$I$6:$I$500,$O463,'Daily Transactions'!$C$6:$C$500,"Expense"),""))</f>
        <v/>
      </c>
      <c r="N463" s="16"/>
      <c r="O463" s="26" t="str">
        <f t="shared" si="5"/>
        <v/>
      </c>
      <c r="P463" s="16"/>
    </row>
    <row r="464" ht="15.0" customHeight="1">
      <c r="A464" s="60" t="str">
        <f t="shared" si="1"/>
        <v/>
      </c>
      <c r="B464" s="33"/>
      <c r="C464" s="33"/>
      <c r="D464" s="33"/>
      <c r="E464" s="61"/>
      <c r="F464" s="32"/>
      <c r="G464" s="33"/>
      <c r="H464" s="33"/>
      <c r="I464" s="61">
        <f>IF($A464="",0,SUMIFS('Daily Transactions'!$F$6:$F$500,'Daily Transactions'!$I$6:$I$500,$O464,'Daily Transactions'!$C$6:$C$500,"Expense"))</f>
        <v>0</v>
      </c>
      <c r="J464" s="61" t="str">
        <f t="shared" si="2"/>
        <v/>
      </c>
      <c r="K464" s="60" t="str">
        <f t="shared" si="3"/>
        <v/>
      </c>
      <c r="L464" s="60" t="str">
        <f t="shared" si="4"/>
        <v/>
      </c>
      <c r="M464" s="56" t="str">
        <f>IF($A464="","",IF(I464&gt;=E464,MAXIFS('Daily Transactions'!$A$6:$A$500,'Daily Transactions'!$I$6:$I$500,$O464,'Daily Transactions'!$C$6:$C$500,"Expense"),""))</f>
        <v/>
      </c>
      <c r="N464" s="33"/>
      <c r="O464" s="26" t="str">
        <f t="shared" si="5"/>
        <v/>
      </c>
      <c r="P464" s="33"/>
    </row>
    <row r="465" ht="15.0" customHeight="1">
      <c r="A465" s="29" t="str">
        <f t="shared" si="1"/>
        <v/>
      </c>
      <c r="B465" s="16"/>
      <c r="C465" s="16"/>
      <c r="D465" s="16"/>
      <c r="E465" s="17"/>
      <c r="F465" s="40"/>
      <c r="G465" s="16"/>
      <c r="H465" s="16"/>
      <c r="I465" s="17">
        <f>IF($A465="",0,SUMIFS('Daily Transactions'!$F$6:$F$500,'Daily Transactions'!$I$6:$I$500,$O465,'Daily Transactions'!$C$6:$C$500,"Expense"))</f>
        <v>0</v>
      </c>
      <c r="J465" s="17" t="str">
        <f t="shared" si="2"/>
        <v/>
      </c>
      <c r="K465" s="29" t="str">
        <f t="shared" si="3"/>
        <v/>
      </c>
      <c r="L465" s="29" t="str">
        <f t="shared" si="4"/>
        <v/>
      </c>
      <c r="M465" s="49" t="str">
        <f>IF($A465="","",IF(I465&gt;=E465,MAXIFS('Daily Transactions'!$A$6:$A$500,'Daily Transactions'!$I$6:$I$500,$O465,'Daily Transactions'!$C$6:$C$500,"Expense"),""))</f>
        <v/>
      </c>
      <c r="N465" s="16"/>
      <c r="O465" s="26" t="str">
        <f t="shared" si="5"/>
        <v/>
      </c>
      <c r="P465" s="16"/>
    </row>
    <row r="466" ht="15.0" customHeight="1">
      <c r="A466" s="60" t="str">
        <f t="shared" si="1"/>
        <v/>
      </c>
      <c r="B466" s="33"/>
      <c r="C466" s="33"/>
      <c r="D466" s="33"/>
      <c r="E466" s="61"/>
      <c r="F466" s="32"/>
      <c r="G466" s="33"/>
      <c r="H466" s="33"/>
      <c r="I466" s="61">
        <f>IF($A466="",0,SUMIFS('Daily Transactions'!$F$6:$F$500,'Daily Transactions'!$I$6:$I$500,$O466,'Daily Transactions'!$C$6:$C$500,"Expense"))</f>
        <v>0</v>
      </c>
      <c r="J466" s="61" t="str">
        <f t="shared" si="2"/>
        <v/>
      </c>
      <c r="K466" s="60" t="str">
        <f t="shared" si="3"/>
        <v/>
      </c>
      <c r="L466" s="60" t="str">
        <f t="shared" si="4"/>
        <v/>
      </c>
      <c r="M466" s="56" t="str">
        <f>IF($A466="","",IF(I466&gt;=E466,MAXIFS('Daily Transactions'!$A$6:$A$500,'Daily Transactions'!$I$6:$I$500,$O466,'Daily Transactions'!$C$6:$C$500,"Expense"),""))</f>
        <v/>
      </c>
      <c r="N466" s="33"/>
      <c r="O466" s="26" t="str">
        <f t="shared" si="5"/>
        <v/>
      </c>
      <c r="P466" s="33"/>
    </row>
    <row r="467" ht="15.0" customHeight="1">
      <c r="A467" s="29" t="str">
        <f t="shared" si="1"/>
        <v/>
      </c>
      <c r="B467" s="16"/>
      <c r="C467" s="16"/>
      <c r="D467" s="16"/>
      <c r="E467" s="17"/>
      <c r="F467" s="40"/>
      <c r="G467" s="16"/>
      <c r="H467" s="16"/>
      <c r="I467" s="17">
        <f>IF($A467="",0,SUMIFS('Daily Transactions'!$F$6:$F$500,'Daily Transactions'!$I$6:$I$500,$O467,'Daily Transactions'!$C$6:$C$500,"Expense"))</f>
        <v>0</v>
      </c>
      <c r="J467" s="17" t="str">
        <f t="shared" si="2"/>
        <v/>
      </c>
      <c r="K467" s="29" t="str">
        <f t="shared" si="3"/>
        <v/>
      </c>
      <c r="L467" s="29" t="str">
        <f t="shared" si="4"/>
        <v/>
      </c>
      <c r="M467" s="49" t="str">
        <f>IF($A467="","",IF(I467&gt;=E467,MAXIFS('Daily Transactions'!$A$6:$A$500,'Daily Transactions'!$I$6:$I$500,$O467,'Daily Transactions'!$C$6:$C$500,"Expense"),""))</f>
        <v/>
      </c>
      <c r="N467" s="16"/>
      <c r="O467" s="26" t="str">
        <f t="shared" si="5"/>
        <v/>
      </c>
      <c r="P467" s="16"/>
    </row>
    <row r="468" ht="15.0" customHeight="1">
      <c r="A468" s="60" t="str">
        <f t="shared" si="1"/>
        <v/>
      </c>
      <c r="B468" s="33"/>
      <c r="C468" s="33"/>
      <c r="D468" s="33"/>
      <c r="E468" s="61"/>
      <c r="F468" s="32"/>
      <c r="G468" s="33"/>
      <c r="H468" s="33"/>
      <c r="I468" s="61">
        <f>IF($A468="",0,SUMIFS('Daily Transactions'!$F$6:$F$500,'Daily Transactions'!$I$6:$I$500,$O468,'Daily Transactions'!$C$6:$C$500,"Expense"))</f>
        <v>0</v>
      </c>
      <c r="J468" s="61" t="str">
        <f t="shared" si="2"/>
        <v/>
      </c>
      <c r="K468" s="60" t="str">
        <f t="shared" si="3"/>
        <v/>
      </c>
      <c r="L468" s="60" t="str">
        <f t="shared" si="4"/>
        <v/>
      </c>
      <c r="M468" s="56" t="str">
        <f>IF($A468="","",IF(I468&gt;=E468,MAXIFS('Daily Transactions'!$A$6:$A$500,'Daily Transactions'!$I$6:$I$500,$O468,'Daily Transactions'!$C$6:$C$500,"Expense"),""))</f>
        <v/>
      </c>
      <c r="N468" s="33"/>
      <c r="O468" s="26" t="str">
        <f t="shared" si="5"/>
        <v/>
      </c>
      <c r="P468" s="33"/>
    </row>
    <row r="469" ht="15.0" customHeight="1">
      <c r="A469" s="29" t="str">
        <f t="shared" si="1"/>
        <v/>
      </c>
      <c r="B469" s="16"/>
      <c r="C469" s="16"/>
      <c r="D469" s="16"/>
      <c r="E469" s="17"/>
      <c r="F469" s="40"/>
      <c r="G469" s="16"/>
      <c r="H469" s="16"/>
      <c r="I469" s="17">
        <f>IF($A469="",0,SUMIFS('Daily Transactions'!$F$6:$F$500,'Daily Transactions'!$I$6:$I$500,$O469,'Daily Transactions'!$C$6:$C$500,"Expense"))</f>
        <v>0</v>
      </c>
      <c r="J469" s="17" t="str">
        <f t="shared" si="2"/>
        <v/>
      </c>
      <c r="K469" s="29" t="str">
        <f t="shared" si="3"/>
        <v/>
      </c>
      <c r="L469" s="29" t="str">
        <f t="shared" si="4"/>
        <v/>
      </c>
      <c r="M469" s="49" t="str">
        <f>IF($A469="","",IF(I469&gt;=E469,MAXIFS('Daily Transactions'!$A$6:$A$500,'Daily Transactions'!$I$6:$I$500,$O469,'Daily Transactions'!$C$6:$C$500,"Expense"),""))</f>
        <v/>
      </c>
      <c r="N469" s="16"/>
      <c r="O469" s="26" t="str">
        <f t="shared" si="5"/>
        <v/>
      </c>
      <c r="P469" s="16"/>
    </row>
    <row r="470" ht="15.0" customHeight="1">
      <c r="A470" s="60" t="str">
        <f t="shared" si="1"/>
        <v/>
      </c>
      <c r="B470" s="33"/>
      <c r="C470" s="33"/>
      <c r="D470" s="33"/>
      <c r="E470" s="61"/>
      <c r="F470" s="32"/>
      <c r="G470" s="33"/>
      <c r="H470" s="33"/>
      <c r="I470" s="61">
        <f>IF($A470="",0,SUMIFS('Daily Transactions'!$F$6:$F$500,'Daily Transactions'!$I$6:$I$500,$O470,'Daily Transactions'!$C$6:$C$500,"Expense"))</f>
        <v>0</v>
      </c>
      <c r="J470" s="61" t="str">
        <f t="shared" si="2"/>
        <v/>
      </c>
      <c r="K470" s="60" t="str">
        <f t="shared" si="3"/>
        <v/>
      </c>
      <c r="L470" s="60" t="str">
        <f t="shared" si="4"/>
        <v/>
      </c>
      <c r="M470" s="56" t="str">
        <f>IF($A470="","",IF(I470&gt;=E470,MAXIFS('Daily Transactions'!$A$6:$A$500,'Daily Transactions'!$I$6:$I$500,$O470,'Daily Transactions'!$C$6:$C$500,"Expense"),""))</f>
        <v/>
      </c>
      <c r="N470" s="33"/>
      <c r="O470" s="26" t="str">
        <f t="shared" si="5"/>
        <v/>
      </c>
      <c r="P470" s="33"/>
    </row>
    <row r="471" ht="15.0" customHeight="1">
      <c r="A471" s="29" t="str">
        <f t="shared" si="1"/>
        <v/>
      </c>
      <c r="B471" s="16"/>
      <c r="C471" s="16"/>
      <c r="D471" s="16"/>
      <c r="E471" s="17"/>
      <c r="F471" s="40"/>
      <c r="G471" s="16"/>
      <c r="H471" s="16"/>
      <c r="I471" s="17">
        <f>IF($A471="",0,SUMIFS('Daily Transactions'!$F$6:$F$500,'Daily Transactions'!$I$6:$I$500,$O471,'Daily Transactions'!$C$6:$C$500,"Expense"))</f>
        <v>0</v>
      </c>
      <c r="J471" s="17" t="str">
        <f t="shared" si="2"/>
        <v/>
      </c>
      <c r="K471" s="29" t="str">
        <f t="shared" si="3"/>
        <v/>
      </c>
      <c r="L471" s="29" t="str">
        <f t="shared" si="4"/>
        <v/>
      </c>
      <c r="M471" s="49" t="str">
        <f>IF($A471="","",IF(I471&gt;=E471,MAXIFS('Daily Transactions'!$A$6:$A$500,'Daily Transactions'!$I$6:$I$500,$O471,'Daily Transactions'!$C$6:$C$500,"Expense"),""))</f>
        <v/>
      </c>
      <c r="N471" s="16"/>
      <c r="O471" s="26" t="str">
        <f t="shared" si="5"/>
        <v/>
      </c>
      <c r="P471" s="16"/>
    </row>
    <row r="472" ht="15.0" customHeight="1">
      <c r="A472" s="60" t="str">
        <f t="shared" si="1"/>
        <v/>
      </c>
      <c r="B472" s="33"/>
      <c r="C472" s="33"/>
      <c r="D472" s="33"/>
      <c r="E472" s="61"/>
      <c r="F472" s="32"/>
      <c r="G472" s="33"/>
      <c r="H472" s="33"/>
      <c r="I472" s="61">
        <f>IF($A472="",0,SUMIFS('Daily Transactions'!$F$6:$F$500,'Daily Transactions'!$I$6:$I$500,$O472,'Daily Transactions'!$C$6:$C$500,"Expense"))</f>
        <v>0</v>
      </c>
      <c r="J472" s="61" t="str">
        <f t="shared" si="2"/>
        <v/>
      </c>
      <c r="K472" s="60" t="str">
        <f t="shared" si="3"/>
        <v/>
      </c>
      <c r="L472" s="60" t="str">
        <f t="shared" si="4"/>
        <v/>
      </c>
      <c r="M472" s="56" t="str">
        <f>IF($A472="","",IF(I472&gt;=E472,MAXIFS('Daily Transactions'!$A$6:$A$500,'Daily Transactions'!$I$6:$I$500,$O472,'Daily Transactions'!$C$6:$C$500,"Expense"),""))</f>
        <v/>
      </c>
      <c r="N472" s="33"/>
      <c r="O472" s="26" t="str">
        <f t="shared" si="5"/>
        <v/>
      </c>
      <c r="P472" s="33"/>
    </row>
    <row r="473" ht="15.0" customHeight="1">
      <c r="A473" s="29" t="str">
        <f t="shared" si="1"/>
        <v/>
      </c>
      <c r="B473" s="16"/>
      <c r="C473" s="16"/>
      <c r="D473" s="16"/>
      <c r="E473" s="17"/>
      <c r="F473" s="40"/>
      <c r="G473" s="16"/>
      <c r="H473" s="16"/>
      <c r="I473" s="17">
        <f>IF($A473="",0,SUMIFS('Daily Transactions'!$F$6:$F$500,'Daily Transactions'!$I$6:$I$500,$O473,'Daily Transactions'!$C$6:$C$500,"Expense"))</f>
        <v>0</v>
      </c>
      <c r="J473" s="17" t="str">
        <f t="shared" si="2"/>
        <v/>
      </c>
      <c r="K473" s="29" t="str">
        <f t="shared" si="3"/>
        <v/>
      </c>
      <c r="L473" s="29" t="str">
        <f t="shared" si="4"/>
        <v/>
      </c>
      <c r="M473" s="49" t="str">
        <f>IF($A473="","",IF(I473&gt;=E473,MAXIFS('Daily Transactions'!$A$6:$A$500,'Daily Transactions'!$I$6:$I$500,$O473,'Daily Transactions'!$C$6:$C$500,"Expense"),""))</f>
        <v/>
      </c>
      <c r="N473" s="16"/>
      <c r="O473" s="26" t="str">
        <f t="shared" si="5"/>
        <v/>
      </c>
      <c r="P473" s="16"/>
    </row>
    <row r="474" ht="15.0" customHeight="1">
      <c r="A474" s="60" t="str">
        <f t="shared" si="1"/>
        <v/>
      </c>
      <c r="B474" s="33"/>
      <c r="C474" s="33"/>
      <c r="D474" s="33"/>
      <c r="E474" s="61"/>
      <c r="F474" s="32"/>
      <c r="G474" s="33"/>
      <c r="H474" s="33"/>
      <c r="I474" s="61">
        <f>IF($A474="",0,SUMIFS('Daily Transactions'!$F$6:$F$500,'Daily Transactions'!$I$6:$I$500,$O474,'Daily Transactions'!$C$6:$C$500,"Expense"))</f>
        <v>0</v>
      </c>
      <c r="J474" s="61" t="str">
        <f t="shared" si="2"/>
        <v/>
      </c>
      <c r="K474" s="60" t="str">
        <f t="shared" si="3"/>
        <v/>
      </c>
      <c r="L474" s="60" t="str">
        <f t="shared" si="4"/>
        <v/>
      </c>
      <c r="M474" s="56" t="str">
        <f>IF($A474="","",IF(I474&gt;=E474,MAXIFS('Daily Transactions'!$A$6:$A$500,'Daily Transactions'!$I$6:$I$500,$O474,'Daily Transactions'!$C$6:$C$500,"Expense"),""))</f>
        <v/>
      </c>
      <c r="N474" s="33"/>
      <c r="O474" s="26" t="str">
        <f t="shared" si="5"/>
        <v/>
      </c>
      <c r="P474" s="33"/>
    </row>
    <row r="475" ht="15.0" customHeight="1">
      <c r="A475" s="29" t="str">
        <f t="shared" si="1"/>
        <v/>
      </c>
      <c r="B475" s="16"/>
      <c r="C475" s="16"/>
      <c r="D475" s="16"/>
      <c r="E475" s="17"/>
      <c r="F475" s="40"/>
      <c r="G475" s="16"/>
      <c r="H475" s="16"/>
      <c r="I475" s="17">
        <f>IF($A475="",0,SUMIFS('Daily Transactions'!$F$6:$F$500,'Daily Transactions'!$I$6:$I$500,$O475,'Daily Transactions'!$C$6:$C$500,"Expense"))</f>
        <v>0</v>
      </c>
      <c r="J475" s="17" t="str">
        <f t="shared" si="2"/>
        <v/>
      </c>
      <c r="K475" s="29" t="str">
        <f t="shared" si="3"/>
        <v/>
      </c>
      <c r="L475" s="29" t="str">
        <f t="shared" si="4"/>
        <v/>
      </c>
      <c r="M475" s="49" t="str">
        <f>IF($A475="","",IF(I475&gt;=E475,MAXIFS('Daily Transactions'!$A$6:$A$500,'Daily Transactions'!$I$6:$I$500,$O475,'Daily Transactions'!$C$6:$C$500,"Expense"),""))</f>
        <v/>
      </c>
      <c r="N475" s="16"/>
      <c r="O475" s="26" t="str">
        <f t="shared" si="5"/>
        <v/>
      </c>
      <c r="P475" s="16"/>
    </row>
    <row r="476" ht="15.0" customHeight="1">
      <c r="A476" s="60" t="str">
        <f t="shared" si="1"/>
        <v/>
      </c>
      <c r="B476" s="33"/>
      <c r="C476" s="33"/>
      <c r="D476" s="33"/>
      <c r="E476" s="61"/>
      <c r="F476" s="32"/>
      <c r="G476" s="33"/>
      <c r="H476" s="33"/>
      <c r="I476" s="61">
        <f>IF($A476="",0,SUMIFS('Daily Transactions'!$F$6:$F$500,'Daily Transactions'!$I$6:$I$500,$O476,'Daily Transactions'!$C$6:$C$500,"Expense"))</f>
        <v>0</v>
      </c>
      <c r="J476" s="61" t="str">
        <f t="shared" si="2"/>
        <v/>
      </c>
      <c r="K476" s="60" t="str">
        <f t="shared" si="3"/>
        <v/>
      </c>
      <c r="L476" s="60" t="str">
        <f t="shared" si="4"/>
        <v/>
      </c>
      <c r="M476" s="56" t="str">
        <f>IF($A476="","",IF(I476&gt;=E476,MAXIFS('Daily Transactions'!$A$6:$A$500,'Daily Transactions'!$I$6:$I$500,$O476,'Daily Transactions'!$C$6:$C$500,"Expense"),""))</f>
        <v/>
      </c>
      <c r="N476" s="33"/>
      <c r="O476" s="26" t="str">
        <f t="shared" si="5"/>
        <v/>
      </c>
      <c r="P476" s="33"/>
    </row>
    <row r="477" ht="15.0" customHeight="1">
      <c r="A477" s="29" t="str">
        <f t="shared" si="1"/>
        <v/>
      </c>
      <c r="B477" s="16"/>
      <c r="C477" s="16"/>
      <c r="D477" s="16"/>
      <c r="E477" s="17"/>
      <c r="F477" s="40"/>
      <c r="G477" s="16"/>
      <c r="H477" s="16"/>
      <c r="I477" s="17">
        <f>IF($A477="",0,SUMIFS('Daily Transactions'!$F$6:$F$500,'Daily Transactions'!$I$6:$I$500,$O477,'Daily Transactions'!$C$6:$C$500,"Expense"))</f>
        <v>0</v>
      </c>
      <c r="J477" s="17" t="str">
        <f t="shared" si="2"/>
        <v/>
      </c>
      <c r="K477" s="29" t="str">
        <f t="shared" si="3"/>
        <v/>
      </c>
      <c r="L477" s="29" t="str">
        <f t="shared" si="4"/>
        <v/>
      </c>
      <c r="M477" s="49" t="str">
        <f>IF($A477="","",IF(I477&gt;=E477,MAXIFS('Daily Transactions'!$A$6:$A$500,'Daily Transactions'!$I$6:$I$500,$O477,'Daily Transactions'!$C$6:$C$500,"Expense"),""))</f>
        <v/>
      </c>
      <c r="N477" s="16"/>
      <c r="O477" s="26" t="str">
        <f t="shared" si="5"/>
        <v/>
      </c>
      <c r="P477" s="16"/>
    </row>
    <row r="478" ht="15.0" customHeight="1">
      <c r="A478" s="60" t="str">
        <f t="shared" si="1"/>
        <v/>
      </c>
      <c r="B478" s="33"/>
      <c r="C478" s="33"/>
      <c r="D478" s="33"/>
      <c r="E478" s="61"/>
      <c r="F478" s="32"/>
      <c r="G478" s="33"/>
      <c r="H478" s="33"/>
      <c r="I478" s="61">
        <f>IF($A478="",0,SUMIFS('Daily Transactions'!$F$6:$F$500,'Daily Transactions'!$I$6:$I$500,$O478,'Daily Transactions'!$C$6:$C$500,"Expense"))</f>
        <v>0</v>
      </c>
      <c r="J478" s="61" t="str">
        <f t="shared" si="2"/>
        <v/>
      </c>
      <c r="K478" s="60" t="str">
        <f t="shared" si="3"/>
        <v/>
      </c>
      <c r="L478" s="60" t="str">
        <f t="shared" si="4"/>
        <v/>
      </c>
      <c r="M478" s="56" t="str">
        <f>IF($A478="","",IF(I478&gt;=E478,MAXIFS('Daily Transactions'!$A$6:$A$500,'Daily Transactions'!$I$6:$I$500,$O478,'Daily Transactions'!$C$6:$C$500,"Expense"),""))</f>
        <v/>
      </c>
      <c r="N478" s="33"/>
      <c r="O478" s="26" t="str">
        <f t="shared" si="5"/>
        <v/>
      </c>
      <c r="P478" s="33"/>
    </row>
    <row r="479" ht="15.0" customHeight="1">
      <c r="A479" s="29" t="str">
        <f t="shared" si="1"/>
        <v/>
      </c>
      <c r="B479" s="16"/>
      <c r="C479" s="16"/>
      <c r="D479" s="16"/>
      <c r="E479" s="17"/>
      <c r="F479" s="40"/>
      <c r="G479" s="16"/>
      <c r="H479" s="16"/>
      <c r="I479" s="17">
        <f>IF($A479="",0,SUMIFS('Daily Transactions'!$F$6:$F$500,'Daily Transactions'!$I$6:$I$500,$O479,'Daily Transactions'!$C$6:$C$500,"Expense"))</f>
        <v>0</v>
      </c>
      <c r="J479" s="17" t="str">
        <f t="shared" si="2"/>
        <v/>
      </c>
      <c r="K479" s="29" t="str">
        <f t="shared" si="3"/>
        <v/>
      </c>
      <c r="L479" s="29" t="str">
        <f t="shared" si="4"/>
        <v/>
      </c>
      <c r="M479" s="49" t="str">
        <f>IF($A479="","",IF(I479&gt;=E479,MAXIFS('Daily Transactions'!$A$6:$A$500,'Daily Transactions'!$I$6:$I$500,$O479,'Daily Transactions'!$C$6:$C$500,"Expense"),""))</f>
        <v/>
      </c>
      <c r="N479" s="16"/>
      <c r="O479" s="26" t="str">
        <f t="shared" si="5"/>
        <v/>
      </c>
      <c r="P479" s="16"/>
    </row>
    <row r="480" ht="15.0" customHeight="1">
      <c r="A480" s="60" t="str">
        <f t="shared" si="1"/>
        <v/>
      </c>
      <c r="B480" s="33"/>
      <c r="C480" s="33"/>
      <c r="D480" s="33"/>
      <c r="E480" s="61"/>
      <c r="F480" s="32"/>
      <c r="G480" s="33"/>
      <c r="H480" s="33"/>
      <c r="I480" s="61">
        <f>IF($A480="",0,SUMIFS('Daily Transactions'!$F$6:$F$500,'Daily Transactions'!$I$6:$I$500,$O480,'Daily Transactions'!$C$6:$C$500,"Expense"))</f>
        <v>0</v>
      </c>
      <c r="J480" s="61" t="str">
        <f t="shared" si="2"/>
        <v/>
      </c>
      <c r="K480" s="60" t="str">
        <f t="shared" si="3"/>
        <v/>
      </c>
      <c r="L480" s="60" t="str">
        <f t="shared" si="4"/>
        <v/>
      </c>
      <c r="M480" s="56" t="str">
        <f>IF($A480="","",IF(I480&gt;=E480,MAXIFS('Daily Transactions'!$A$6:$A$500,'Daily Transactions'!$I$6:$I$500,$O480,'Daily Transactions'!$C$6:$C$500,"Expense"),""))</f>
        <v/>
      </c>
      <c r="N480" s="33"/>
      <c r="O480" s="26" t="str">
        <f t="shared" si="5"/>
        <v/>
      </c>
      <c r="P480" s="33"/>
    </row>
    <row r="481" ht="15.0" customHeight="1">
      <c r="A481" s="29" t="str">
        <f t="shared" si="1"/>
        <v/>
      </c>
      <c r="B481" s="16"/>
      <c r="C481" s="16"/>
      <c r="D481" s="16"/>
      <c r="E481" s="17"/>
      <c r="F481" s="40"/>
      <c r="G481" s="16"/>
      <c r="H481" s="16"/>
      <c r="I481" s="17">
        <f>IF($A481="",0,SUMIFS('Daily Transactions'!$F$6:$F$500,'Daily Transactions'!$I$6:$I$500,$O481,'Daily Transactions'!$C$6:$C$500,"Expense"))</f>
        <v>0</v>
      </c>
      <c r="J481" s="17" t="str">
        <f t="shared" si="2"/>
        <v/>
      </c>
      <c r="K481" s="29" t="str">
        <f t="shared" si="3"/>
        <v/>
      </c>
      <c r="L481" s="29" t="str">
        <f t="shared" si="4"/>
        <v/>
      </c>
      <c r="M481" s="49" t="str">
        <f>IF($A481="","",IF(I481&gt;=E481,MAXIFS('Daily Transactions'!$A$6:$A$500,'Daily Transactions'!$I$6:$I$500,$O481,'Daily Transactions'!$C$6:$C$500,"Expense"),""))</f>
        <v/>
      </c>
      <c r="N481" s="16"/>
      <c r="O481" s="26" t="str">
        <f t="shared" si="5"/>
        <v/>
      </c>
      <c r="P481" s="16"/>
    </row>
    <row r="482" ht="15.0" customHeight="1">
      <c r="A482" s="60" t="str">
        <f t="shared" si="1"/>
        <v/>
      </c>
      <c r="B482" s="33"/>
      <c r="C482" s="33"/>
      <c r="D482" s="33"/>
      <c r="E482" s="61"/>
      <c r="F482" s="32"/>
      <c r="G482" s="33"/>
      <c r="H482" s="33"/>
      <c r="I482" s="61">
        <f>IF($A482="",0,SUMIFS('Daily Transactions'!$F$6:$F$500,'Daily Transactions'!$I$6:$I$500,$O482,'Daily Transactions'!$C$6:$C$500,"Expense"))</f>
        <v>0</v>
      </c>
      <c r="J482" s="61" t="str">
        <f t="shared" si="2"/>
        <v/>
      </c>
      <c r="K482" s="60" t="str">
        <f t="shared" si="3"/>
        <v/>
      </c>
      <c r="L482" s="60" t="str">
        <f t="shared" si="4"/>
        <v/>
      </c>
      <c r="M482" s="56" t="str">
        <f>IF($A482="","",IF(I482&gt;=E482,MAXIFS('Daily Transactions'!$A$6:$A$500,'Daily Transactions'!$I$6:$I$500,$O482,'Daily Transactions'!$C$6:$C$500,"Expense"),""))</f>
        <v/>
      </c>
      <c r="N482" s="33"/>
      <c r="O482" s="26" t="str">
        <f t="shared" si="5"/>
        <v/>
      </c>
      <c r="P482" s="33"/>
    </row>
    <row r="483" ht="15.0" customHeight="1">
      <c r="A483" s="29" t="str">
        <f t="shared" si="1"/>
        <v/>
      </c>
      <c r="B483" s="16"/>
      <c r="C483" s="16"/>
      <c r="D483" s="16"/>
      <c r="E483" s="17"/>
      <c r="F483" s="40"/>
      <c r="G483" s="16"/>
      <c r="H483" s="16"/>
      <c r="I483" s="17">
        <f>IF($A483="",0,SUMIFS('Daily Transactions'!$F$6:$F$500,'Daily Transactions'!$I$6:$I$500,$O483,'Daily Transactions'!$C$6:$C$500,"Expense"))</f>
        <v>0</v>
      </c>
      <c r="J483" s="17" t="str">
        <f t="shared" si="2"/>
        <v/>
      </c>
      <c r="K483" s="29" t="str">
        <f t="shared" si="3"/>
        <v/>
      </c>
      <c r="L483" s="29" t="str">
        <f t="shared" si="4"/>
        <v/>
      </c>
      <c r="M483" s="49" t="str">
        <f>IF($A483="","",IF(I483&gt;=E483,MAXIFS('Daily Transactions'!$A$6:$A$500,'Daily Transactions'!$I$6:$I$500,$O483,'Daily Transactions'!$C$6:$C$500,"Expense"),""))</f>
        <v/>
      </c>
      <c r="N483" s="16"/>
      <c r="O483" s="26" t="str">
        <f t="shared" si="5"/>
        <v/>
      </c>
      <c r="P483" s="16"/>
    </row>
    <row r="484" ht="15.0" customHeight="1">
      <c r="A484" s="60" t="str">
        <f t="shared" si="1"/>
        <v/>
      </c>
      <c r="B484" s="33"/>
      <c r="C484" s="33"/>
      <c r="D484" s="33"/>
      <c r="E484" s="61"/>
      <c r="F484" s="32"/>
      <c r="G484" s="33"/>
      <c r="H484" s="33"/>
      <c r="I484" s="61">
        <f>IF($A484="",0,SUMIFS('Daily Transactions'!$F$6:$F$500,'Daily Transactions'!$I$6:$I$500,$O484,'Daily Transactions'!$C$6:$C$500,"Expense"))</f>
        <v>0</v>
      </c>
      <c r="J484" s="61" t="str">
        <f t="shared" si="2"/>
        <v/>
      </c>
      <c r="K484" s="60" t="str">
        <f t="shared" si="3"/>
        <v/>
      </c>
      <c r="L484" s="60" t="str">
        <f t="shared" si="4"/>
        <v/>
      </c>
      <c r="M484" s="56" t="str">
        <f>IF($A484="","",IF(I484&gt;=E484,MAXIFS('Daily Transactions'!$A$6:$A$500,'Daily Transactions'!$I$6:$I$500,$O484,'Daily Transactions'!$C$6:$C$500,"Expense"),""))</f>
        <v/>
      </c>
      <c r="N484" s="33"/>
      <c r="O484" s="26" t="str">
        <f t="shared" si="5"/>
        <v/>
      </c>
      <c r="P484" s="33"/>
    </row>
    <row r="485" ht="15.0" customHeight="1">
      <c r="A485" s="29" t="str">
        <f t="shared" si="1"/>
        <v/>
      </c>
      <c r="B485" s="16"/>
      <c r="C485" s="16"/>
      <c r="D485" s="16"/>
      <c r="E485" s="17"/>
      <c r="F485" s="40"/>
      <c r="G485" s="16"/>
      <c r="H485" s="16"/>
      <c r="I485" s="17">
        <f>IF($A485="",0,SUMIFS('Daily Transactions'!$F$6:$F$500,'Daily Transactions'!$I$6:$I$500,$O485,'Daily Transactions'!$C$6:$C$500,"Expense"))</f>
        <v>0</v>
      </c>
      <c r="J485" s="17" t="str">
        <f t="shared" si="2"/>
        <v/>
      </c>
      <c r="K485" s="29" t="str">
        <f t="shared" si="3"/>
        <v/>
      </c>
      <c r="L485" s="29" t="str">
        <f t="shared" si="4"/>
        <v/>
      </c>
      <c r="M485" s="49" t="str">
        <f>IF($A485="","",IF(I485&gt;=E485,MAXIFS('Daily Transactions'!$A$6:$A$500,'Daily Transactions'!$I$6:$I$500,$O485,'Daily Transactions'!$C$6:$C$500,"Expense"),""))</f>
        <v/>
      </c>
      <c r="N485" s="16"/>
      <c r="O485" s="26" t="str">
        <f t="shared" si="5"/>
        <v/>
      </c>
      <c r="P485" s="16"/>
    </row>
    <row r="486" ht="15.0" customHeight="1">
      <c r="A486" s="60" t="str">
        <f t="shared" si="1"/>
        <v/>
      </c>
      <c r="B486" s="33"/>
      <c r="C486" s="33"/>
      <c r="D486" s="33"/>
      <c r="E486" s="61"/>
      <c r="F486" s="32"/>
      <c r="G486" s="33"/>
      <c r="H486" s="33"/>
      <c r="I486" s="61">
        <f>IF($A486="",0,SUMIFS('Daily Transactions'!$F$6:$F$500,'Daily Transactions'!$I$6:$I$500,$O486,'Daily Transactions'!$C$6:$C$500,"Expense"))</f>
        <v>0</v>
      </c>
      <c r="J486" s="61" t="str">
        <f t="shared" si="2"/>
        <v/>
      </c>
      <c r="K486" s="60" t="str">
        <f t="shared" si="3"/>
        <v/>
      </c>
      <c r="L486" s="60" t="str">
        <f t="shared" si="4"/>
        <v/>
      </c>
      <c r="M486" s="56" t="str">
        <f>IF($A486="","",IF(I486&gt;=E486,MAXIFS('Daily Transactions'!$A$6:$A$500,'Daily Transactions'!$I$6:$I$500,$O486,'Daily Transactions'!$C$6:$C$500,"Expense"),""))</f>
        <v/>
      </c>
      <c r="N486" s="33"/>
      <c r="O486" s="26" t="str">
        <f t="shared" si="5"/>
        <v/>
      </c>
      <c r="P486" s="33"/>
    </row>
    <row r="487" ht="15.0" customHeight="1">
      <c r="A487" s="29" t="str">
        <f t="shared" si="1"/>
        <v/>
      </c>
      <c r="B487" s="16"/>
      <c r="C487" s="16"/>
      <c r="D487" s="16"/>
      <c r="E487" s="17"/>
      <c r="F487" s="40"/>
      <c r="G487" s="16"/>
      <c r="H487" s="16"/>
      <c r="I487" s="17">
        <f>IF($A487="",0,SUMIFS('Daily Transactions'!$F$6:$F$500,'Daily Transactions'!$I$6:$I$500,$O487,'Daily Transactions'!$C$6:$C$500,"Expense"))</f>
        <v>0</v>
      </c>
      <c r="J487" s="17" t="str">
        <f t="shared" si="2"/>
        <v/>
      </c>
      <c r="K487" s="29" t="str">
        <f t="shared" si="3"/>
        <v/>
      </c>
      <c r="L487" s="29" t="str">
        <f t="shared" si="4"/>
        <v/>
      </c>
      <c r="M487" s="49" t="str">
        <f>IF($A487="","",IF(I487&gt;=E487,MAXIFS('Daily Transactions'!$A$6:$A$500,'Daily Transactions'!$I$6:$I$500,$O487,'Daily Transactions'!$C$6:$C$500,"Expense"),""))</f>
        <v/>
      </c>
      <c r="N487" s="16"/>
      <c r="O487" s="26" t="str">
        <f t="shared" si="5"/>
        <v/>
      </c>
      <c r="P487" s="16"/>
    </row>
    <row r="488" ht="15.0" customHeight="1">
      <c r="A488" s="60" t="str">
        <f t="shared" si="1"/>
        <v/>
      </c>
      <c r="B488" s="33"/>
      <c r="C488" s="33"/>
      <c r="D488" s="33"/>
      <c r="E488" s="61"/>
      <c r="F488" s="32"/>
      <c r="G488" s="33"/>
      <c r="H488" s="33"/>
      <c r="I488" s="61">
        <f>IF($A488="",0,SUMIFS('Daily Transactions'!$F$6:$F$500,'Daily Transactions'!$I$6:$I$500,$O488,'Daily Transactions'!$C$6:$C$500,"Expense"))</f>
        <v>0</v>
      </c>
      <c r="J488" s="61" t="str">
        <f t="shared" si="2"/>
        <v/>
      </c>
      <c r="K488" s="60" t="str">
        <f t="shared" si="3"/>
        <v/>
      </c>
      <c r="L488" s="60" t="str">
        <f t="shared" si="4"/>
        <v/>
      </c>
      <c r="M488" s="56" t="str">
        <f>IF($A488="","",IF(I488&gt;=E488,MAXIFS('Daily Transactions'!$A$6:$A$500,'Daily Transactions'!$I$6:$I$500,$O488,'Daily Transactions'!$C$6:$C$500,"Expense"),""))</f>
        <v/>
      </c>
      <c r="N488" s="33"/>
      <c r="O488" s="26" t="str">
        <f t="shared" si="5"/>
        <v/>
      </c>
      <c r="P488" s="33"/>
    </row>
    <row r="489" ht="15.0" customHeight="1">
      <c r="A489" s="29" t="str">
        <f t="shared" si="1"/>
        <v/>
      </c>
      <c r="B489" s="16"/>
      <c r="C489" s="16"/>
      <c r="D489" s="16"/>
      <c r="E489" s="17"/>
      <c r="F489" s="40"/>
      <c r="G489" s="16"/>
      <c r="H489" s="16"/>
      <c r="I489" s="17">
        <f>IF($A489="",0,SUMIFS('Daily Transactions'!$F$6:$F$500,'Daily Transactions'!$I$6:$I$500,$O489,'Daily Transactions'!$C$6:$C$500,"Expense"))</f>
        <v>0</v>
      </c>
      <c r="J489" s="17" t="str">
        <f t="shared" si="2"/>
        <v/>
      </c>
      <c r="K489" s="29" t="str">
        <f t="shared" si="3"/>
        <v/>
      </c>
      <c r="L489" s="29" t="str">
        <f t="shared" si="4"/>
        <v/>
      </c>
      <c r="M489" s="49" t="str">
        <f>IF($A489="","",IF(I489&gt;=E489,MAXIFS('Daily Transactions'!$A$6:$A$500,'Daily Transactions'!$I$6:$I$500,$O489,'Daily Transactions'!$C$6:$C$500,"Expense"),""))</f>
        <v/>
      </c>
      <c r="N489" s="16"/>
      <c r="O489" s="26" t="str">
        <f t="shared" si="5"/>
        <v/>
      </c>
      <c r="P489" s="16"/>
    </row>
    <row r="490" ht="15.0" customHeight="1">
      <c r="A490" s="60" t="str">
        <f t="shared" si="1"/>
        <v/>
      </c>
      <c r="B490" s="33"/>
      <c r="C490" s="33"/>
      <c r="D490" s="33"/>
      <c r="E490" s="61"/>
      <c r="F490" s="32"/>
      <c r="G490" s="33"/>
      <c r="H490" s="33"/>
      <c r="I490" s="61">
        <f>IF($A490="",0,SUMIFS('Daily Transactions'!$F$6:$F$500,'Daily Transactions'!$I$6:$I$500,$O490,'Daily Transactions'!$C$6:$C$500,"Expense"))</f>
        <v>0</v>
      </c>
      <c r="J490" s="61" t="str">
        <f t="shared" si="2"/>
        <v/>
      </c>
      <c r="K490" s="60" t="str">
        <f t="shared" si="3"/>
        <v/>
      </c>
      <c r="L490" s="60" t="str">
        <f t="shared" si="4"/>
        <v/>
      </c>
      <c r="M490" s="56" t="str">
        <f>IF($A490="","",IF(I490&gt;=E490,MAXIFS('Daily Transactions'!$A$6:$A$500,'Daily Transactions'!$I$6:$I$500,$O490,'Daily Transactions'!$C$6:$C$500,"Expense"),""))</f>
        <v/>
      </c>
      <c r="N490" s="33"/>
      <c r="O490" s="26" t="str">
        <f t="shared" si="5"/>
        <v/>
      </c>
      <c r="P490" s="33"/>
    </row>
    <row r="491" ht="15.0" customHeight="1">
      <c r="A491" s="29" t="str">
        <f t="shared" si="1"/>
        <v/>
      </c>
      <c r="B491" s="16"/>
      <c r="C491" s="16"/>
      <c r="D491" s="16"/>
      <c r="E491" s="17"/>
      <c r="F491" s="40"/>
      <c r="G491" s="16"/>
      <c r="H491" s="16"/>
      <c r="I491" s="17">
        <f>IF($A491="",0,SUMIFS('Daily Transactions'!$F$6:$F$500,'Daily Transactions'!$I$6:$I$500,$O491,'Daily Transactions'!$C$6:$C$500,"Expense"))</f>
        <v>0</v>
      </c>
      <c r="J491" s="17" t="str">
        <f t="shared" si="2"/>
        <v/>
      </c>
      <c r="K491" s="29" t="str">
        <f t="shared" si="3"/>
        <v/>
      </c>
      <c r="L491" s="29" t="str">
        <f t="shared" si="4"/>
        <v/>
      </c>
      <c r="M491" s="49" t="str">
        <f>IF($A491="","",IF(I491&gt;=E491,MAXIFS('Daily Transactions'!$A$6:$A$500,'Daily Transactions'!$I$6:$I$500,$O491,'Daily Transactions'!$C$6:$C$500,"Expense"),""))</f>
        <v/>
      </c>
      <c r="N491" s="16"/>
      <c r="O491" s="26" t="str">
        <f t="shared" si="5"/>
        <v/>
      </c>
      <c r="P491" s="16"/>
    </row>
    <row r="492" ht="15.0" customHeight="1">
      <c r="A492" s="60" t="str">
        <f t="shared" si="1"/>
        <v/>
      </c>
      <c r="B492" s="33"/>
      <c r="C492" s="33"/>
      <c r="D492" s="33"/>
      <c r="E492" s="61"/>
      <c r="F492" s="32"/>
      <c r="G492" s="33"/>
      <c r="H492" s="33"/>
      <c r="I492" s="61">
        <f>IF($A492="",0,SUMIFS('Daily Transactions'!$F$6:$F$500,'Daily Transactions'!$I$6:$I$500,$O492,'Daily Transactions'!$C$6:$C$500,"Expense"))</f>
        <v>0</v>
      </c>
      <c r="J492" s="61" t="str">
        <f t="shared" si="2"/>
        <v/>
      </c>
      <c r="K492" s="60" t="str">
        <f t="shared" si="3"/>
        <v/>
      </c>
      <c r="L492" s="60" t="str">
        <f t="shared" si="4"/>
        <v/>
      </c>
      <c r="M492" s="56" t="str">
        <f>IF($A492="","",IF(I492&gt;=E492,MAXIFS('Daily Transactions'!$A$6:$A$500,'Daily Transactions'!$I$6:$I$500,$O492,'Daily Transactions'!$C$6:$C$500,"Expense"),""))</f>
        <v/>
      </c>
      <c r="N492" s="33"/>
      <c r="O492" s="26" t="str">
        <f t="shared" si="5"/>
        <v/>
      </c>
      <c r="P492" s="33"/>
    </row>
    <row r="493" ht="15.0" customHeight="1">
      <c r="A493" s="29" t="str">
        <f t="shared" si="1"/>
        <v/>
      </c>
      <c r="B493" s="16"/>
      <c r="C493" s="16"/>
      <c r="D493" s="16"/>
      <c r="E493" s="17"/>
      <c r="F493" s="40"/>
      <c r="G493" s="16"/>
      <c r="H493" s="16"/>
      <c r="I493" s="17">
        <f>IF($A493="",0,SUMIFS('Daily Transactions'!$F$6:$F$500,'Daily Transactions'!$I$6:$I$500,$O493,'Daily Transactions'!$C$6:$C$500,"Expense"))</f>
        <v>0</v>
      </c>
      <c r="J493" s="17" t="str">
        <f t="shared" si="2"/>
        <v/>
      </c>
      <c r="K493" s="29" t="str">
        <f t="shared" si="3"/>
        <v/>
      </c>
      <c r="L493" s="29" t="str">
        <f t="shared" si="4"/>
        <v/>
      </c>
      <c r="M493" s="49" t="str">
        <f>IF($A493="","",IF(I493&gt;=E493,MAXIFS('Daily Transactions'!$A$6:$A$500,'Daily Transactions'!$I$6:$I$500,$O493,'Daily Transactions'!$C$6:$C$500,"Expense"),""))</f>
        <v/>
      </c>
      <c r="N493" s="16"/>
      <c r="O493" s="26" t="str">
        <f t="shared" si="5"/>
        <v/>
      </c>
      <c r="P493" s="16"/>
    </row>
    <row r="494" ht="15.0" customHeight="1">
      <c r="A494" s="60" t="str">
        <f t="shared" si="1"/>
        <v/>
      </c>
      <c r="B494" s="33"/>
      <c r="C494" s="33"/>
      <c r="D494" s="33"/>
      <c r="E494" s="61"/>
      <c r="F494" s="32"/>
      <c r="G494" s="33"/>
      <c r="H494" s="33"/>
      <c r="I494" s="61">
        <f>IF($A494="",0,SUMIFS('Daily Transactions'!$F$6:$F$500,'Daily Transactions'!$I$6:$I$500,$O494,'Daily Transactions'!$C$6:$C$500,"Expense"))</f>
        <v>0</v>
      </c>
      <c r="J494" s="61" t="str">
        <f t="shared" si="2"/>
        <v/>
      </c>
      <c r="K494" s="60" t="str">
        <f t="shared" si="3"/>
        <v/>
      </c>
      <c r="L494" s="60" t="str">
        <f t="shared" si="4"/>
        <v/>
      </c>
      <c r="M494" s="56" t="str">
        <f>IF($A494="","",IF(I494&gt;=E494,MAXIFS('Daily Transactions'!$A$6:$A$500,'Daily Transactions'!$I$6:$I$500,$O494,'Daily Transactions'!$C$6:$C$500,"Expense"),""))</f>
        <v/>
      </c>
      <c r="N494" s="33"/>
      <c r="O494" s="26" t="str">
        <f t="shared" si="5"/>
        <v/>
      </c>
      <c r="P494" s="33"/>
    </row>
    <row r="495" ht="15.0" customHeight="1">
      <c r="A495" s="29" t="str">
        <f t="shared" si="1"/>
        <v/>
      </c>
      <c r="B495" s="16"/>
      <c r="C495" s="16"/>
      <c r="D495" s="16"/>
      <c r="E495" s="17"/>
      <c r="F495" s="40"/>
      <c r="G495" s="16"/>
      <c r="H495" s="16"/>
      <c r="I495" s="17">
        <f>IF($A495="",0,SUMIFS('Daily Transactions'!$F$6:$F$500,'Daily Transactions'!$I$6:$I$500,$O495,'Daily Transactions'!$C$6:$C$500,"Expense"))</f>
        <v>0</v>
      </c>
      <c r="J495" s="17" t="str">
        <f t="shared" si="2"/>
        <v/>
      </c>
      <c r="K495" s="29" t="str">
        <f t="shared" si="3"/>
        <v/>
      </c>
      <c r="L495" s="29" t="str">
        <f t="shared" si="4"/>
        <v/>
      </c>
      <c r="M495" s="49" t="str">
        <f>IF($A495="","",IF(I495&gt;=E495,MAXIFS('Daily Transactions'!$A$6:$A$500,'Daily Transactions'!$I$6:$I$500,$O495,'Daily Transactions'!$C$6:$C$500,"Expense"),""))</f>
        <v/>
      </c>
      <c r="N495" s="16"/>
      <c r="O495" s="26" t="str">
        <f t="shared" si="5"/>
        <v/>
      </c>
      <c r="P495" s="16"/>
    </row>
    <row r="496" ht="15.0" customHeight="1">
      <c r="A496" s="60" t="str">
        <f t="shared" si="1"/>
        <v/>
      </c>
      <c r="B496" s="33"/>
      <c r="C496" s="33"/>
      <c r="D496" s="33"/>
      <c r="E496" s="61"/>
      <c r="F496" s="32"/>
      <c r="G496" s="33"/>
      <c r="H496" s="33"/>
      <c r="I496" s="61">
        <f>IF($A496="",0,SUMIFS('Daily Transactions'!$F$6:$F$500,'Daily Transactions'!$I$6:$I$500,$O496,'Daily Transactions'!$C$6:$C$500,"Expense"))</f>
        <v>0</v>
      </c>
      <c r="J496" s="61" t="str">
        <f t="shared" si="2"/>
        <v/>
      </c>
      <c r="K496" s="60" t="str">
        <f t="shared" si="3"/>
        <v/>
      </c>
      <c r="L496" s="60" t="str">
        <f t="shared" si="4"/>
        <v/>
      </c>
      <c r="M496" s="56" t="str">
        <f>IF($A496="","",IF(I496&gt;=E496,MAXIFS('Daily Transactions'!$A$6:$A$500,'Daily Transactions'!$I$6:$I$500,$O496,'Daily Transactions'!$C$6:$C$500,"Expense"),""))</f>
        <v/>
      </c>
      <c r="N496" s="33"/>
      <c r="O496" s="26" t="str">
        <f t="shared" si="5"/>
        <v/>
      </c>
      <c r="P496" s="33"/>
    </row>
    <row r="497" ht="15.0" customHeight="1">
      <c r="A497" s="29" t="str">
        <f t="shared" si="1"/>
        <v/>
      </c>
      <c r="B497" s="16"/>
      <c r="C497" s="16"/>
      <c r="D497" s="16"/>
      <c r="E497" s="17"/>
      <c r="F497" s="40"/>
      <c r="G497" s="16"/>
      <c r="H497" s="16"/>
      <c r="I497" s="17">
        <f>IF($A497="",0,SUMIFS('Daily Transactions'!$F$6:$F$500,'Daily Transactions'!$I$6:$I$500,$O497,'Daily Transactions'!$C$6:$C$500,"Expense"))</f>
        <v>0</v>
      </c>
      <c r="J497" s="17" t="str">
        <f t="shared" si="2"/>
        <v/>
      </c>
      <c r="K497" s="29" t="str">
        <f t="shared" si="3"/>
        <v/>
      </c>
      <c r="L497" s="29" t="str">
        <f t="shared" si="4"/>
        <v/>
      </c>
      <c r="M497" s="49" t="str">
        <f>IF($A497="","",IF(I497&gt;=E497,MAXIFS('Daily Transactions'!$A$6:$A$500,'Daily Transactions'!$I$6:$I$500,$O497,'Daily Transactions'!$C$6:$C$500,"Expense"),""))</f>
        <v/>
      </c>
      <c r="N497" s="16"/>
      <c r="O497" s="26" t="str">
        <f t="shared" si="5"/>
        <v/>
      </c>
      <c r="P497" s="16"/>
    </row>
    <row r="498" ht="15.0" customHeight="1">
      <c r="A498" s="60" t="str">
        <f t="shared" si="1"/>
        <v/>
      </c>
      <c r="B498" s="33"/>
      <c r="C498" s="33"/>
      <c r="D498" s="33"/>
      <c r="E498" s="61"/>
      <c r="F498" s="32"/>
      <c r="G498" s="33"/>
      <c r="H498" s="33"/>
      <c r="I498" s="61">
        <f>IF($A498="",0,SUMIFS('Daily Transactions'!$F$6:$F$500,'Daily Transactions'!$I$6:$I$500,$O498,'Daily Transactions'!$C$6:$C$500,"Expense"))</f>
        <v>0</v>
      </c>
      <c r="J498" s="61" t="str">
        <f t="shared" si="2"/>
        <v/>
      </c>
      <c r="K498" s="60" t="str">
        <f t="shared" si="3"/>
        <v/>
      </c>
      <c r="L498" s="60" t="str">
        <f t="shared" si="4"/>
        <v/>
      </c>
      <c r="M498" s="56" t="str">
        <f>IF($A498="","",IF(I498&gt;=E498,MAXIFS('Daily Transactions'!$A$6:$A$500,'Daily Transactions'!$I$6:$I$500,$O498,'Daily Transactions'!$C$6:$C$500,"Expense"),""))</f>
        <v/>
      </c>
      <c r="N498" s="33"/>
      <c r="O498" s="26" t="str">
        <f t="shared" si="5"/>
        <v/>
      </c>
      <c r="P498" s="33"/>
    </row>
    <row r="499" ht="15.0" customHeight="1">
      <c r="A499" s="29" t="str">
        <f t="shared" si="1"/>
        <v/>
      </c>
      <c r="B499" s="16"/>
      <c r="C499" s="16"/>
      <c r="D499" s="16"/>
      <c r="E499" s="17"/>
      <c r="F499" s="40"/>
      <c r="G499" s="16"/>
      <c r="H499" s="16"/>
      <c r="I499" s="17">
        <f>IF($A499="",0,SUMIFS('Daily Transactions'!$F$6:$F$500,'Daily Transactions'!$I$6:$I$500,$O499,'Daily Transactions'!$C$6:$C$500,"Expense"))</f>
        <v>0</v>
      </c>
      <c r="J499" s="17" t="str">
        <f t="shared" si="2"/>
        <v/>
      </c>
      <c r="K499" s="29" t="str">
        <f t="shared" si="3"/>
        <v/>
      </c>
      <c r="L499" s="29" t="str">
        <f t="shared" si="4"/>
        <v/>
      </c>
      <c r="M499" s="49" t="str">
        <f>IF($A499="","",IF(I499&gt;=E499,MAXIFS('Daily Transactions'!$A$6:$A$500,'Daily Transactions'!$I$6:$I$500,$O499,'Daily Transactions'!$C$6:$C$500,"Expense"),""))</f>
        <v/>
      </c>
      <c r="N499" s="16"/>
      <c r="O499" s="26" t="str">
        <f t="shared" si="5"/>
        <v/>
      </c>
      <c r="P499" s="16"/>
    </row>
    <row r="500" ht="15.0" customHeight="1">
      <c r="A500" s="60" t="str">
        <f t="shared" si="1"/>
        <v/>
      </c>
      <c r="B500" s="33"/>
      <c r="C500" s="33"/>
      <c r="D500" s="33"/>
      <c r="E500" s="61"/>
      <c r="F500" s="32"/>
      <c r="G500" s="33"/>
      <c r="H500" s="33"/>
      <c r="I500" s="61">
        <f>IF($A500="",0,SUMIFS('Daily Transactions'!$F$6:$F$500,'Daily Transactions'!$I$6:$I$500,$O500,'Daily Transactions'!$C$6:$C$500,"Expense"))</f>
        <v>0</v>
      </c>
      <c r="J500" s="61" t="str">
        <f t="shared" si="2"/>
        <v/>
      </c>
      <c r="K500" s="60" t="str">
        <f t="shared" si="3"/>
        <v/>
      </c>
      <c r="L500" s="60" t="str">
        <f t="shared" si="4"/>
        <v/>
      </c>
      <c r="M500" s="56" t="str">
        <f>IF($A500="","",IF(I500&gt;=E500,MAXIFS('Daily Transactions'!$A$6:$A$500,'Daily Transactions'!$I$6:$I$500,$O500,'Daily Transactions'!$C$6:$C$500,"Expense"),""))</f>
        <v/>
      </c>
      <c r="N500" s="33"/>
      <c r="O500" s="26" t="str">
        <f t="shared" si="5"/>
        <v/>
      </c>
      <c r="P500" s="33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</row>
  </sheetData>
  <mergeCells count="3">
    <mergeCell ref="A1:P1"/>
    <mergeCell ref="A2:P2"/>
    <mergeCell ref="A4:D4"/>
  </mergeCells>
  <conditionalFormatting sqref="A7:N500">
    <cfRule type="expression" dxfId="2" priority="1">
      <formula>OR($L7="Overdue",$L7="Partially Paid - Overdue")</formula>
    </cfRule>
  </conditionalFormatting>
  <conditionalFormatting sqref="A7:N500">
    <cfRule type="expression" dxfId="3" priority="2">
      <formula>OR($L7="Due Today",$L7="Partially Paid - Due Today")</formula>
    </cfRule>
  </conditionalFormatting>
  <conditionalFormatting sqref="A7:N500">
    <cfRule type="expression" dxfId="4" priority="3">
      <formula>$L7="Due Soon"</formula>
    </cfRule>
  </conditionalFormatting>
  <conditionalFormatting sqref="A7:N500">
    <cfRule type="expression" dxfId="5" priority="4">
      <formula>$L7="Partially Paid"</formula>
    </cfRule>
  </conditionalFormatting>
  <conditionalFormatting sqref="A7:N500">
    <cfRule type="expression" dxfId="6" priority="5">
      <formula>$L7="Paid in Full"</formula>
    </cfRule>
  </conditionalFormatting>
  <dataValidations>
    <dataValidation type="list" allowBlank="1" sqref="D7:D500">
      <formula1>Setup!$H$6:$J$14</formula1>
    </dataValidation>
    <dataValidation type="list" allowBlank="1" sqref="H7:H500">
      <formula1>"Weekly,Monthly,Quarterly,Annually,One-off"</formula1>
    </dataValidation>
    <dataValidation type="list" allowBlank="1" sqref="C7:C500">
      <formula1>Setup!$B$6:$B$13</formula1>
    </dataValidation>
    <dataValidation type="list" allowBlank="1" sqref="P7:P500">
      <formula1>Setup!$R$6:$R$55</formula1>
    </dataValidation>
    <dataValidation type="list" allowBlank="1" sqref="G7:G5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2.0" ySplit="7.0" topLeftCell="C8" activePane="bottomRight" state="frozen"/>
      <selection activeCell="C1" sqref="C1" pane="topRight"/>
      <selection activeCell="A8" sqref="A8" pane="bottomLeft"/>
      <selection activeCell="C8" sqref="C8" pane="bottomRight"/>
    </sheetView>
  </sheetViews>
  <sheetFormatPr customHeight="1" defaultColWidth="14.43" defaultRowHeight="15.0"/>
  <cols>
    <col customWidth="1" min="1" max="1" width="2.0"/>
    <col customWidth="1" min="2" max="2" width="24.0"/>
    <col customWidth="1" min="3" max="15" width="11.0"/>
    <col customWidth="1" min="16" max="26" width="8.7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1.75" customHeight="1">
      <c r="A2" s="1"/>
      <c r="B2" s="2" t="s">
        <v>152</v>
      </c>
      <c r="O2" s="1"/>
    </row>
    <row r="3" ht="15.0" customHeight="1">
      <c r="A3" s="1"/>
      <c r="B3" s="3" t="s">
        <v>153</v>
      </c>
      <c r="O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15.0" customHeight="1">
      <c r="A5" s="1"/>
      <c r="B5" s="4" t="s">
        <v>154</v>
      </c>
      <c r="C5" s="62" t="s">
        <v>20</v>
      </c>
      <c r="D5" s="1"/>
      <c r="E5" s="4" t="s">
        <v>155</v>
      </c>
      <c r="F5" s="62">
        <v>2026.0</v>
      </c>
      <c r="G5" s="1"/>
      <c r="H5" s="1"/>
      <c r="I5" s="1"/>
      <c r="J5" s="1"/>
      <c r="K5" s="1"/>
      <c r="L5" s="1"/>
      <c r="M5" s="1"/>
      <c r="N5" s="1"/>
      <c r="O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ht="15.0" customHeight="1">
      <c r="A7" s="1"/>
      <c r="B7" s="15" t="s">
        <v>76</v>
      </c>
      <c r="C7" s="15" t="s">
        <v>156</v>
      </c>
      <c r="D7" s="15" t="s">
        <v>157</v>
      </c>
      <c r="E7" s="15" t="s">
        <v>158</v>
      </c>
      <c r="F7" s="15" t="s">
        <v>159</v>
      </c>
      <c r="G7" s="15" t="s">
        <v>160</v>
      </c>
      <c r="H7" s="15" t="s">
        <v>161</v>
      </c>
      <c r="I7" s="15" t="s">
        <v>162</v>
      </c>
      <c r="J7" s="15" t="s">
        <v>163</v>
      </c>
      <c r="K7" s="15" t="s">
        <v>164</v>
      </c>
      <c r="L7" s="15" t="s">
        <v>165</v>
      </c>
      <c r="M7" s="15" t="s">
        <v>166</v>
      </c>
      <c r="N7" s="15" t="s">
        <v>167</v>
      </c>
      <c r="O7" s="15" t="s">
        <v>36</v>
      </c>
    </row>
    <row r="8" ht="15.0" customHeight="1">
      <c r="A8" s="1"/>
      <c r="B8" s="16" t="s">
        <v>12</v>
      </c>
      <c r="C8" s="17">
        <f>SUMIFS('Daily Transactions'!$F$6:$F$500,'Daily Transactions'!$B$6:$B$500,$C$5,'Daily Transactions'!$C$6:$C$500,"Income",'Daily Transactions'!$A$6:$A$500,"&gt;="&amp;DATE($F$5,1,1),'Daily Transactions'!$A$6:$A$500,"&lt;"&amp;EDATE(DATE($F$5,1,1),1))</f>
        <v>0</v>
      </c>
      <c r="D8" s="17">
        <f>SUMIFS('Daily Transactions'!$F$6:$F$500,'Daily Transactions'!$B$6:$B$500,$C$5,'Daily Transactions'!$C$6:$C$500,"Income",'Daily Transactions'!$A$6:$A$500,"&gt;="&amp;DATE($F$5,2,1),'Daily Transactions'!$A$6:$A$500,"&lt;"&amp;EDATE(DATE($F$5,2,1),1))</f>
        <v>0</v>
      </c>
      <c r="E8" s="17">
        <f>SUMIFS('Daily Transactions'!$F$6:$F$500,'Daily Transactions'!$B$6:$B$500,$C$5,'Daily Transactions'!$C$6:$C$500,"Income",'Daily Transactions'!$A$6:$A$500,"&gt;="&amp;DATE($F$5,3,1),'Daily Transactions'!$A$6:$A$500,"&lt;"&amp;EDATE(DATE($F$5,3,1),1))</f>
        <v>0</v>
      </c>
      <c r="F8" s="17">
        <f>SUMIFS('Daily Transactions'!$F$6:$F$500,'Daily Transactions'!$B$6:$B$500,$C$5,'Daily Transactions'!$C$6:$C$500,"Income",'Daily Transactions'!$A$6:$A$500,"&gt;="&amp;DATE($F$5,4,1),'Daily Transactions'!$A$6:$A$500,"&lt;"&amp;EDATE(DATE($F$5,4,1),1))</f>
        <v>0</v>
      </c>
      <c r="G8" s="17">
        <f>SUMIFS('Daily Transactions'!$F$6:$F$500,'Daily Transactions'!$B$6:$B$500,$C$5,'Daily Transactions'!$C$6:$C$500,"Income",'Daily Transactions'!$A$6:$A$500,"&gt;="&amp;DATE($F$5,5,1),'Daily Transactions'!$A$6:$A$500,"&lt;"&amp;EDATE(DATE($F$5,5,1),1))</f>
        <v>0</v>
      </c>
      <c r="H8" s="17">
        <f>SUMIFS('Daily Transactions'!$F$6:$F$500,'Daily Transactions'!$B$6:$B$500,$C$5,'Daily Transactions'!$C$6:$C$500,"Income",'Daily Transactions'!$A$6:$A$500,"&gt;="&amp;DATE($F$5,6,1),'Daily Transactions'!$A$6:$A$500,"&lt;"&amp;EDATE(DATE($F$5,6,1),1))</f>
        <v>0</v>
      </c>
      <c r="I8" s="17">
        <f>SUMIFS('Daily Transactions'!$F$6:$F$500,'Daily Transactions'!$B$6:$B$500,$C$5,'Daily Transactions'!$C$6:$C$500,"Income",'Daily Transactions'!$A$6:$A$500,"&gt;="&amp;DATE($F$5,7,1),'Daily Transactions'!$A$6:$A$500,"&lt;"&amp;EDATE(DATE($F$5,7,1),1))</f>
        <v>0</v>
      </c>
      <c r="J8" s="17">
        <f>SUMIFS('Daily Transactions'!$F$6:$F$500,'Daily Transactions'!$B$6:$B$500,$C$5,'Daily Transactions'!$C$6:$C$500,"Income",'Daily Transactions'!$A$6:$A$500,"&gt;="&amp;DATE($F$5,8,1),'Daily Transactions'!$A$6:$A$500,"&lt;"&amp;EDATE(DATE($F$5,8,1),1))</f>
        <v>0</v>
      </c>
      <c r="K8" s="17">
        <f>SUMIFS('Daily Transactions'!$F$6:$F$500,'Daily Transactions'!$B$6:$B$500,$C$5,'Daily Transactions'!$C$6:$C$500,"Income",'Daily Transactions'!$A$6:$A$500,"&gt;="&amp;DATE($F$5,9,1),'Daily Transactions'!$A$6:$A$500,"&lt;"&amp;EDATE(DATE($F$5,9,1),1))</f>
        <v>0</v>
      </c>
      <c r="L8" s="17">
        <f>SUMIFS('Daily Transactions'!$F$6:$F$500,'Daily Transactions'!$B$6:$B$500,$C$5,'Daily Transactions'!$C$6:$C$500,"Income",'Daily Transactions'!$A$6:$A$500,"&gt;="&amp;DATE($F$5,10,1),'Daily Transactions'!$A$6:$A$500,"&lt;"&amp;EDATE(DATE($F$5,10,1),1))</f>
        <v>0</v>
      </c>
      <c r="M8" s="17">
        <f>SUMIFS('Daily Transactions'!$F$6:$F$500,'Daily Transactions'!$B$6:$B$500,$C$5,'Daily Transactions'!$C$6:$C$500,"Income",'Daily Transactions'!$A$6:$A$500,"&gt;="&amp;DATE($F$5,11,1),'Daily Transactions'!$A$6:$A$500,"&lt;"&amp;EDATE(DATE($F$5,11,1),1))</f>
        <v>0</v>
      </c>
      <c r="N8" s="17">
        <f>SUMIFS('Daily Transactions'!$F$6:$F$500,'Daily Transactions'!$B$6:$B$500,$C$5,'Daily Transactions'!$C$6:$C$500,"Income",'Daily Transactions'!$A$6:$A$500,"&gt;="&amp;DATE($F$5,12,1),'Daily Transactions'!$A$6:$A$500,"&lt;"&amp;EDATE(DATE($F$5,12,1),1))</f>
        <v>0</v>
      </c>
      <c r="O8" s="63">
        <f t="shared" ref="O8:O18" si="1">SUM(C8:N8)</f>
        <v>0</v>
      </c>
    </row>
    <row r="9" ht="15.0" customHeight="1">
      <c r="A9" s="1"/>
      <c r="B9" s="19" t="s">
        <v>168</v>
      </c>
      <c r="C9" s="20">
        <f>SUMIFS('Daily Transactions'!$F$6:$F$500,'Daily Transactions'!$B$6:$B$500,$C$5,'Daily Transactions'!$C$6:$C$500,"Expense",'Daily Transactions'!$D$6:$D$500,"Employee Salaries",'Daily Transactions'!$A$6:$A$500,"&gt;="&amp;DATE($F$5,1,1),'Daily Transactions'!$A$6:$A$500,"&lt;"&amp;EDATE(DATE($F$5,1,1),1))</f>
        <v>0</v>
      </c>
      <c r="D9" s="20">
        <f>SUMIFS('Daily Transactions'!$F$6:$F$500,'Daily Transactions'!$B$6:$B$500,$C$5,'Daily Transactions'!$C$6:$C$500,"Expense",'Daily Transactions'!$D$6:$D$500,"Employee Salaries",'Daily Transactions'!$A$6:$A$500,"&gt;="&amp;DATE($F$5,2,1),'Daily Transactions'!$A$6:$A$500,"&lt;"&amp;EDATE(DATE($F$5,2,1),1))</f>
        <v>0</v>
      </c>
      <c r="E9" s="20">
        <f>SUMIFS('Daily Transactions'!$F$6:$F$500,'Daily Transactions'!$B$6:$B$500,$C$5,'Daily Transactions'!$C$6:$C$500,"Expense",'Daily Transactions'!$D$6:$D$500,"Employee Salaries",'Daily Transactions'!$A$6:$A$500,"&gt;="&amp;DATE($F$5,3,1),'Daily Transactions'!$A$6:$A$500,"&lt;"&amp;EDATE(DATE($F$5,3,1),1))</f>
        <v>0</v>
      </c>
      <c r="F9" s="20">
        <f>SUMIFS('Daily Transactions'!$F$6:$F$500,'Daily Transactions'!$B$6:$B$500,$C$5,'Daily Transactions'!$C$6:$C$500,"Expense",'Daily Transactions'!$D$6:$D$500,"Employee Salaries",'Daily Transactions'!$A$6:$A$500,"&gt;="&amp;DATE($F$5,4,1),'Daily Transactions'!$A$6:$A$500,"&lt;"&amp;EDATE(DATE($F$5,4,1),1))</f>
        <v>0</v>
      </c>
      <c r="G9" s="20">
        <f>SUMIFS('Daily Transactions'!$F$6:$F$500,'Daily Transactions'!$B$6:$B$500,$C$5,'Daily Transactions'!$C$6:$C$500,"Expense",'Daily Transactions'!$D$6:$D$500,"Employee Salaries",'Daily Transactions'!$A$6:$A$500,"&gt;="&amp;DATE($F$5,5,1),'Daily Transactions'!$A$6:$A$500,"&lt;"&amp;EDATE(DATE($F$5,5,1),1))</f>
        <v>0</v>
      </c>
      <c r="H9" s="20">
        <f>SUMIFS('Daily Transactions'!$F$6:$F$500,'Daily Transactions'!$B$6:$B$500,$C$5,'Daily Transactions'!$C$6:$C$500,"Expense",'Daily Transactions'!$D$6:$D$500,"Employee Salaries",'Daily Transactions'!$A$6:$A$500,"&gt;="&amp;DATE($F$5,6,1),'Daily Transactions'!$A$6:$A$500,"&lt;"&amp;EDATE(DATE($F$5,6,1),1))</f>
        <v>0</v>
      </c>
      <c r="I9" s="20">
        <f>SUMIFS('Daily Transactions'!$F$6:$F$500,'Daily Transactions'!$B$6:$B$500,$C$5,'Daily Transactions'!$C$6:$C$500,"Expense",'Daily Transactions'!$D$6:$D$500,"Employee Salaries",'Daily Transactions'!$A$6:$A$500,"&gt;="&amp;DATE($F$5,7,1),'Daily Transactions'!$A$6:$A$500,"&lt;"&amp;EDATE(DATE($F$5,7,1),1))</f>
        <v>0</v>
      </c>
      <c r="J9" s="20">
        <f>SUMIFS('Daily Transactions'!$F$6:$F$500,'Daily Transactions'!$B$6:$B$500,$C$5,'Daily Transactions'!$C$6:$C$500,"Expense",'Daily Transactions'!$D$6:$D$500,"Employee Salaries",'Daily Transactions'!$A$6:$A$500,"&gt;="&amp;DATE($F$5,8,1),'Daily Transactions'!$A$6:$A$500,"&lt;"&amp;EDATE(DATE($F$5,8,1),1))</f>
        <v>0</v>
      </c>
      <c r="K9" s="20">
        <f>SUMIFS('Daily Transactions'!$F$6:$F$500,'Daily Transactions'!$B$6:$B$500,$C$5,'Daily Transactions'!$C$6:$C$500,"Expense",'Daily Transactions'!$D$6:$D$500,"Employee Salaries",'Daily Transactions'!$A$6:$A$500,"&gt;="&amp;DATE($F$5,9,1),'Daily Transactions'!$A$6:$A$500,"&lt;"&amp;EDATE(DATE($F$5,9,1),1))</f>
        <v>0</v>
      </c>
      <c r="L9" s="20">
        <f>SUMIFS('Daily Transactions'!$F$6:$F$500,'Daily Transactions'!$B$6:$B$500,$C$5,'Daily Transactions'!$C$6:$C$500,"Expense",'Daily Transactions'!$D$6:$D$500,"Employee Salaries",'Daily Transactions'!$A$6:$A$500,"&gt;="&amp;DATE($F$5,10,1),'Daily Transactions'!$A$6:$A$500,"&lt;"&amp;EDATE(DATE($F$5,10,1),1))</f>
        <v>0</v>
      </c>
      <c r="M9" s="20">
        <f>SUMIFS('Daily Transactions'!$F$6:$F$500,'Daily Transactions'!$B$6:$B$500,$C$5,'Daily Transactions'!$C$6:$C$500,"Expense",'Daily Transactions'!$D$6:$D$500,"Employee Salaries",'Daily Transactions'!$A$6:$A$500,"&gt;="&amp;DATE($F$5,11,1),'Daily Transactions'!$A$6:$A$500,"&lt;"&amp;EDATE(DATE($F$5,11,1),1))</f>
        <v>0</v>
      </c>
      <c r="N9" s="20">
        <f>SUMIFS('Daily Transactions'!$F$6:$F$500,'Daily Transactions'!$B$6:$B$500,$C$5,'Daily Transactions'!$C$6:$C$500,"Expense",'Daily Transactions'!$D$6:$D$500,"Employee Salaries",'Daily Transactions'!$A$6:$A$500,"&gt;="&amp;DATE($F$5,12,1),'Daily Transactions'!$A$6:$A$500,"&lt;"&amp;EDATE(DATE($F$5,12,1),1))</f>
        <v>0</v>
      </c>
      <c r="O9" s="64">
        <f t="shared" si="1"/>
        <v>0</v>
      </c>
    </row>
    <row r="10" ht="15.0" customHeight="1">
      <c r="A10" s="1"/>
      <c r="B10" s="16" t="s">
        <v>169</v>
      </c>
      <c r="C10" s="17">
        <f>SUMIFS('Daily Transactions'!$F$6:$F$500,'Daily Transactions'!$B$6:$B$500,$C$5,'Daily Transactions'!$C$6:$C$500,"Expense",'Daily Transactions'!$D$6:$D$500,"KPLC",'Daily Transactions'!$A$6:$A$500,"&gt;="&amp;DATE($F$5,1,1),'Daily Transactions'!$A$6:$A$500,"&lt;"&amp;EDATE(DATE($F$5,1,1),1))</f>
        <v>0</v>
      </c>
      <c r="D10" s="17">
        <f>SUMIFS('Daily Transactions'!$F$6:$F$500,'Daily Transactions'!$B$6:$B$500,$C$5,'Daily Transactions'!$C$6:$C$500,"Expense",'Daily Transactions'!$D$6:$D$500,"KPLC",'Daily Transactions'!$A$6:$A$500,"&gt;="&amp;DATE($F$5,2,1),'Daily Transactions'!$A$6:$A$500,"&lt;"&amp;EDATE(DATE($F$5,2,1),1))</f>
        <v>0</v>
      </c>
      <c r="E10" s="17">
        <f>SUMIFS('Daily Transactions'!$F$6:$F$500,'Daily Transactions'!$B$6:$B$500,$C$5,'Daily Transactions'!$C$6:$C$500,"Expense",'Daily Transactions'!$D$6:$D$500,"KPLC",'Daily Transactions'!$A$6:$A$500,"&gt;="&amp;DATE($F$5,3,1),'Daily Transactions'!$A$6:$A$500,"&lt;"&amp;EDATE(DATE($F$5,3,1),1))</f>
        <v>0</v>
      </c>
      <c r="F10" s="17">
        <f>SUMIFS('Daily Transactions'!$F$6:$F$500,'Daily Transactions'!$B$6:$B$500,$C$5,'Daily Transactions'!$C$6:$C$500,"Expense",'Daily Transactions'!$D$6:$D$500,"KPLC",'Daily Transactions'!$A$6:$A$500,"&gt;="&amp;DATE($F$5,4,1),'Daily Transactions'!$A$6:$A$500,"&lt;"&amp;EDATE(DATE($F$5,4,1),1))</f>
        <v>0</v>
      </c>
      <c r="G10" s="17">
        <f>SUMIFS('Daily Transactions'!$F$6:$F$500,'Daily Transactions'!$B$6:$B$500,$C$5,'Daily Transactions'!$C$6:$C$500,"Expense",'Daily Transactions'!$D$6:$D$500,"KPLC",'Daily Transactions'!$A$6:$A$500,"&gt;="&amp;DATE($F$5,5,1),'Daily Transactions'!$A$6:$A$500,"&lt;"&amp;EDATE(DATE($F$5,5,1),1))</f>
        <v>0</v>
      </c>
      <c r="H10" s="17">
        <f>SUMIFS('Daily Transactions'!$F$6:$F$500,'Daily Transactions'!$B$6:$B$500,$C$5,'Daily Transactions'!$C$6:$C$500,"Expense",'Daily Transactions'!$D$6:$D$500,"KPLC",'Daily Transactions'!$A$6:$A$500,"&gt;="&amp;DATE($F$5,6,1),'Daily Transactions'!$A$6:$A$500,"&lt;"&amp;EDATE(DATE($F$5,6,1),1))</f>
        <v>0</v>
      </c>
      <c r="I10" s="17">
        <f>SUMIFS('Daily Transactions'!$F$6:$F$500,'Daily Transactions'!$B$6:$B$500,$C$5,'Daily Transactions'!$C$6:$C$500,"Expense",'Daily Transactions'!$D$6:$D$500,"KPLC",'Daily Transactions'!$A$6:$A$500,"&gt;="&amp;DATE($F$5,7,1),'Daily Transactions'!$A$6:$A$500,"&lt;"&amp;EDATE(DATE($F$5,7,1),1))</f>
        <v>0</v>
      </c>
      <c r="J10" s="17">
        <f>SUMIFS('Daily Transactions'!$F$6:$F$500,'Daily Transactions'!$B$6:$B$500,$C$5,'Daily Transactions'!$C$6:$C$500,"Expense",'Daily Transactions'!$D$6:$D$500,"KPLC",'Daily Transactions'!$A$6:$A$500,"&gt;="&amp;DATE($F$5,8,1),'Daily Transactions'!$A$6:$A$500,"&lt;"&amp;EDATE(DATE($F$5,8,1),1))</f>
        <v>0</v>
      </c>
      <c r="K10" s="17">
        <f>SUMIFS('Daily Transactions'!$F$6:$F$500,'Daily Transactions'!$B$6:$B$500,$C$5,'Daily Transactions'!$C$6:$C$500,"Expense",'Daily Transactions'!$D$6:$D$500,"KPLC",'Daily Transactions'!$A$6:$A$500,"&gt;="&amp;DATE($F$5,9,1),'Daily Transactions'!$A$6:$A$500,"&lt;"&amp;EDATE(DATE($F$5,9,1),1))</f>
        <v>0</v>
      </c>
      <c r="L10" s="17">
        <f>SUMIFS('Daily Transactions'!$F$6:$F$500,'Daily Transactions'!$B$6:$B$500,$C$5,'Daily Transactions'!$C$6:$C$500,"Expense",'Daily Transactions'!$D$6:$D$500,"KPLC",'Daily Transactions'!$A$6:$A$500,"&gt;="&amp;DATE($F$5,10,1),'Daily Transactions'!$A$6:$A$500,"&lt;"&amp;EDATE(DATE($F$5,10,1),1))</f>
        <v>0</v>
      </c>
      <c r="M10" s="17">
        <f>SUMIFS('Daily Transactions'!$F$6:$F$500,'Daily Transactions'!$B$6:$B$500,$C$5,'Daily Transactions'!$C$6:$C$500,"Expense",'Daily Transactions'!$D$6:$D$500,"KPLC",'Daily Transactions'!$A$6:$A$500,"&gt;="&amp;DATE($F$5,11,1),'Daily Transactions'!$A$6:$A$500,"&lt;"&amp;EDATE(DATE($F$5,11,1),1))</f>
        <v>0</v>
      </c>
      <c r="N10" s="17">
        <f>SUMIFS('Daily Transactions'!$F$6:$F$500,'Daily Transactions'!$B$6:$B$500,$C$5,'Daily Transactions'!$C$6:$C$500,"Expense",'Daily Transactions'!$D$6:$D$500,"KPLC",'Daily Transactions'!$A$6:$A$500,"&gt;="&amp;DATE($F$5,12,1),'Daily Transactions'!$A$6:$A$500,"&lt;"&amp;EDATE(DATE($F$5,12,1),1))</f>
        <v>0</v>
      </c>
      <c r="O10" s="63">
        <f t="shared" si="1"/>
        <v>0</v>
      </c>
    </row>
    <row r="11" ht="15.0" customHeight="1">
      <c r="A11" s="1"/>
      <c r="B11" s="19" t="s">
        <v>170</v>
      </c>
      <c r="C11" s="20">
        <f>SUMIFS('Daily Transactions'!$F$6:$F$500,'Daily Transactions'!$B$6:$B$500,$C$5,'Daily Transactions'!$C$6:$C$500,"Expense",'Daily Transactions'!$D$6:$D$500,"Wifi",'Daily Transactions'!$A$6:$A$500,"&gt;="&amp;DATE($F$5,1,1),'Daily Transactions'!$A$6:$A$500,"&lt;"&amp;EDATE(DATE($F$5,1,1),1))</f>
        <v>0</v>
      </c>
      <c r="D11" s="20">
        <f>SUMIFS('Daily Transactions'!$F$6:$F$500,'Daily Transactions'!$B$6:$B$500,$C$5,'Daily Transactions'!$C$6:$C$500,"Expense",'Daily Transactions'!$D$6:$D$500,"Wifi",'Daily Transactions'!$A$6:$A$500,"&gt;="&amp;DATE($F$5,2,1),'Daily Transactions'!$A$6:$A$500,"&lt;"&amp;EDATE(DATE($F$5,2,1),1))</f>
        <v>0</v>
      </c>
      <c r="E11" s="20">
        <f>SUMIFS('Daily Transactions'!$F$6:$F$500,'Daily Transactions'!$B$6:$B$500,$C$5,'Daily Transactions'!$C$6:$C$500,"Expense",'Daily Transactions'!$D$6:$D$500,"Wifi",'Daily Transactions'!$A$6:$A$500,"&gt;="&amp;DATE($F$5,3,1),'Daily Transactions'!$A$6:$A$500,"&lt;"&amp;EDATE(DATE($F$5,3,1),1))</f>
        <v>0</v>
      </c>
      <c r="F11" s="20">
        <f>SUMIFS('Daily Transactions'!$F$6:$F$500,'Daily Transactions'!$B$6:$B$500,$C$5,'Daily Transactions'!$C$6:$C$500,"Expense",'Daily Transactions'!$D$6:$D$500,"Wifi",'Daily Transactions'!$A$6:$A$500,"&gt;="&amp;DATE($F$5,4,1),'Daily Transactions'!$A$6:$A$500,"&lt;"&amp;EDATE(DATE($F$5,4,1),1))</f>
        <v>0</v>
      </c>
      <c r="G11" s="20">
        <f>SUMIFS('Daily Transactions'!$F$6:$F$500,'Daily Transactions'!$B$6:$B$500,$C$5,'Daily Transactions'!$C$6:$C$500,"Expense",'Daily Transactions'!$D$6:$D$500,"Wifi",'Daily Transactions'!$A$6:$A$500,"&gt;="&amp;DATE($F$5,5,1),'Daily Transactions'!$A$6:$A$500,"&lt;"&amp;EDATE(DATE($F$5,5,1),1))</f>
        <v>0</v>
      </c>
      <c r="H11" s="20">
        <f>SUMIFS('Daily Transactions'!$F$6:$F$500,'Daily Transactions'!$B$6:$B$500,$C$5,'Daily Transactions'!$C$6:$C$500,"Expense",'Daily Transactions'!$D$6:$D$500,"Wifi",'Daily Transactions'!$A$6:$A$500,"&gt;="&amp;DATE($F$5,6,1),'Daily Transactions'!$A$6:$A$500,"&lt;"&amp;EDATE(DATE($F$5,6,1),1))</f>
        <v>0</v>
      </c>
      <c r="I11" s="20">
        <f>SUMIFS('Daily Transactions'!$F$6:$F$500,'Daily Transactions'!$B$6:$B$500,$C$5,'Daily Transactions'!$C$6:$C$500,"Expense",'Daily Transactions'!$D$6:$D$500,"Wifi",'Daily Transactions'!$A$6:$A$500,"&gt;="&amp;DATE($F$5,7,1),'Daily Transactions'!$A$6:$A$500,"&lt;"&amp;EDATE(DATE($F$5,7,1),1))</f>
        <v>0</v>
      </c>
      <c r="J11" s="20">
        <f>SUMIFS('Daily Transactions'!$F$6:$F$500,'Daily Transactions'!$B$6:$B$500,$C$5,'Daily Transactions'!$C$6:$C$500,"Expense",'Daily Transactions'!$D$6:$D$500,"Wifi",'Daily Transactions'!$A$6:$A$500,"&gt;="&amp;DATE($F$5,8,1),'Daily Transactions'!$A$6:$A$500,"&lt;"&amp;EDATE(DATE($F$5,8,1),1))</f>
        <v>0</v>
      </c>
      <c r="K11" s="20">
        <f>SUMIFS('Daily Transactions'!$F$6:$F$500,'Daily Transactions'!$B$6:$B$500,$C$5,'Daily Transactions'!$C$6:$C$500,"Expense",'Daily Transactions'!$D$6:$D$500,"Wifi",'Daily Transactions'!$A$6:$A$500,"&gt;="&amp;DATE($F$5,9,1),'Daily Transactions'!$A$6:$A$500,"&lt;"&amp;EDATE(DATE($F$5,9,1),1))</f>
        <v>0</v>
      </c>
      <c r="L11" s="20">
        <f>SUMIFS('Daily Transactions'!$F$6:$F$500,'Daily Transactions'!$B$6:$B$500,$C$5,'Daily Transactions'!$C$6:$C$500,"Expense",'Daily Transactions'!$D$6:$D$500,"Wifi",'Daily Transactions'!$A$6:$A$500,"&gt;="&amp;DATE($F$5,10,1),'Daily Transactions'!$A$6:$A$500,"&lt;"&amp;EDATE(DATE($F$5,10,1),1))</f>
        <v>0</v>
      </c>
      <c r="M11" s="20">
        <f>SUMIFS('Daily Transactions'!$F$6:$F$500,'Daily Transactions'!$B$6:$B$500,$C$5,'Daily Transactions'!$C$6:$C$500,"Expense",'Daily Transactions'!$D$6:$D$500,"Wifi",'Daily Transactions'!$A$6:$A$500,"&gt;="&amp;DATE($F$5,11,1),'Daily Transactions'!$A$6:$A$500,"&lt;"&amp;EDATE(DATE($F$5,11,1),1))</f>
        <v>0</v>
      </c>
      <c r="N11" s="20">
        <f>SUMIFS('Daily Transactions'!$F$6:$F$500,'Daily Transactions'!$B$6:$B$500,$C$5,'Daily Transactions'!$C$6:$C$500,"Expense",'Daily Transactions'!$D$6:$D$500,"Wifi",'Daily Transactions'!$A$6:$A$500,"&gt;="&amp;DATE($F$5,12,1),'Daily Transactions'!$A$6:$A$500,"&lt;"&amp;EDATE(DATE($F$5,12,1),1))</f>
        <v>0</v>
      </c>
      <c r="O11" s="64">
        <f t="shared" si="1"/>
        <v>0</v>
      </c>
    </row>
    <row r="12" ht="15.0" customHeight="1">
      <c r="A12" s="1"/>
      <c r="B12" s="16" t="s">
        <v>171</v>
      </c>
      <c r="C12" s="17">
        <f>SUMIFS('Daily Transactions'!$F$6:$F$500,'Daily Transactions'!$B$6:$B$500,$C$5,'Daily Transactions'!$C$6:$C$500,"Expense",'Daily Transactions'!$D$6:$D$500,"Rent",'Daily Transactions'!$A$6:$A$500,"&gt;="&amp;DATE($F$5,1,1),'Daily Transactions'!$A$6:$A$500,"&lt;"&amp;EDATE(DATE($F$5,1,1),1))</f>
        <v>0</v>
      </c>
      <c r="D12" s="17">
        <f>SUMIFS('Daily Transactions'!$F$6:$F$500,'Daily Transactions'!$B$6:$B$500,$C$5,'Daily Transactions'!$C$6:$C$500,"Expense",'Daily Transactions'!$D$6:$D$500,"Rent",'Daily Transactions'!$A$6:$A$500,"&gt;="&amp;DATE($F$5,2,1),'Daily Transactions'!$A$6:$A$500,"&lt;"&amp;EDATE(DATE($F$5,2,1),1))</f>
        <v>0</v>
      </c>
      <c r="E12" s="17">
        <f>SUMIFS('Daily Transactions'!$F$6:$F$500,'Daily Transactions'!$B$6:$B$500,$C$5,'Daily Transactions'!$C$6:$C$500,"Expense",'Daily Transactions'!$D$6:$D$500,"Rent",'Daily Transactions'!$A$6:$A$500,"&gt;="&amp;DATE($F$5,3,1),'Daily Transactions'!$A$6:$A$500,"&lt;"&amp;EDATE(DATE($F$5,3,1),1))</f>
        <v>0</v>
      </c>
      <c r="F12" s="17">
        <f>SUMIFS('Daily Transactions'!$F$6:$F$500,'Daily Transactions'!$B$6:$B$500,$C$5,'Daily Transactions'!$C$6:$C$500,"Expense",'Daily Transactions'!$D$6:$D$500,"Rent",'Daily Transactions'!$A$6:$A$500,"&gt;="&amp;DATE($F$5,4,1),'Daily Transactions'!$A$6:$A$500,"&lt;"&amp;EDATE(DATE($F$5,4,1),1))</f>
        <v>0</v>
      </c>
      <c r="G12" s="17">
        <f>SUMIFS('Daily Transactions'!$F$6:$F$500,'Daily Transactions'!$B$6:$B$500,$C$5,'Daily Transactions'!$C$6:$C$500,"Expense",'Daily Transactions'!$D$6:$D$500,"Rent",'Daily Transactions'!$A$6:$A$500,"&gt;="&amp;DATE($F$5,5,1),'Daily Transactions'!$A$6:$A$500,"&lt;"&amp;EDATE(DATE($F$5,5,1),1))</f>
        <v>0</v>
      </c>
      <c r="H12" s="17">
        <f>SUMIFS('Daily Transactions'!$F$6:$F$500,'Daily Transactions'!$B$6:$B$500,$C$5,'Daily Transactions'!$C$6:$C$500,"Expense",'Daily Transactions'!$D$6:$D$500,"Rent",'Daily Transactions'!$A$6:$A$500,"&gt;="&amp;DATE($F$5,6,1),'Daily Transactions'!$A$6:$A$500,"&lt;"&amp;EDATE(DATE($F$5,6,1),1))</f>
        <v>0</v>
      </c>
      <c r="I12" s="17">
        <f>SUMIFS('Daily Transactions'!$F$6:$F$500,'Daily Transactions'!$B$6:$B$500,$C$5,'Daily Transactions'!$C$6:$C$500,"Expense",'Daily Transactions'!$D$6:$D$500,"Rent",'Daily Transactions'!$A$6:$A$500,"&gt;="&amp;DATE($F$5,7,1),'Daily Transactions'!$A$6:$A$500,"&lt;"&amp;EDATE(DATE($F$5,7,1),1))</f>
        <v>0</v>
      </c>
      <c r="J12" s="17">
        <f>SUMIFS('Daily Transactions'!$F$6:$F$500,'Daily Transactions'!$B$6:$B$500,$C$5,'Daily Transactions'!$C$6:$C$500,"Expense",'Daily Transactions'!$D$6:$D$500,"Rent",'Daily Transactions'!$A$6:$A$500,"&gt;="&amp;DATE($F$5,8,1),'Daily Transactions'!$A$6:$A$500,"&lt;"&amp;EDATE(DATE($F$5,8,1),1))</f>
        <v>0</v>
      </c>
      <c r="K12" s="17">
        <f>SUMIFS('Daily Transactions'!$F$6:$F$500,'Daily Transactions'!$B$6:$B$500,$C$5,'Daily Transactions'!$C$6:$C$500,"Expense",'Daily Transactions'!$D$6:$D$500,"Rent",'Daily Transactions'!$A$6:$A$500,"&gt;="&amp;DATE($F$5,9,1),'Daily Transactions'!$A$6:$A$500,"&lt;"&amp;EDATE(DATE($F$5,9,1),1))</f>
        <v>0</v>
      </c>
      <c r="L12" s="17">
        <f>SUMIFS('Daily Transactions'!$F$6:$F$500,'Daily Transactions'!$B$6:$B$500,$C$5,'Daily Transactions'!$C$6:$C$500,"Expense",'Daily Transactions'!$D$6:$D$500,"Rent",'Daily Transactions'!$A$6:$A$500,"&gt;="&amp;DATE($F$5,10,1),'Daily Transactions'!$A$6:$A$500,"&lt;"&amp;EDATE(DATE($F$5,10,1),1))</f>
        <v>0</v>
      </c>
      <c r="M12" s="17">
        <f>SUMIFS('Daily Transactions'!$F$6:$F$500,'Daily Transactions'!$B$6:$B$500,$C$5,'Daily Transactions'!$C$6:$C$500,"Expense",'Daily Transactions'!$D$6:$D$500,"Rent",'Daily Transactions'!$A$6:$A$500,"&gt;="&amp;DATE($F$5,11,1),'Daily Transactions'!$A$6:$A$500,"&lt;"&amp;EDATE(DATE($F$5,11,1),1))</f>
        <v>0</v>
      </c>
      <c r="N12" s="17">
        <f>SUMIFS('Daily Transactions'!$F$6:$F$500,'Daily Transactions'!$B$6:$B$500,$C$5,'Daily Transactions'!$C$6:$C$500,"Expense",'Daily Transactions'!$D$6:$D$500,"Rent",'Daily Transactions'!$A$6:$A$500,"&gt;="&amp;DATE($F$5,12,1),'Daily Transactions'!$A$6:$A$500,"&lt;"&amp;EDATE(DATE($F$5,12,1),1))</f>
        <v>0</v>
      </c>
      <c r="O12" s="63">
        <f t="shared" si="1"/>
        <v>0</v>
      </c>
    </row>
    <row r="13" ht="15.0" customHeight="1">
      <c r="A13" s="1"/>
      <c r="B13" s="19" t="s">
        <v>172</v>
      </c>
      <c r="C13" s="20">
        <f>SUMIFS('Daily Transactions'!$F$6:$F$500,'Daily Transactions'!$B$6:$B$500,$C$5,'Daily Transactions'!$C$6:$C$500,"Expense",'Daily Transactions'!$D$6:$D$500,"Supplier Claims",'Daily Transactions'!$A$6:$A$500,"&gt;="&amp;DATE($F$5,1,1),'Daily Transactions'!$A$6:$A$500,"&lt;"&amp;EDATE(DATE($F$5,1,1),1))</f>
        <v>0</v>
      </c>
      <c r="D13" s="20">
        <f>SUMIFS('Daily Transactions'!$F$6:$F$500,'Daily Transactions'!$B$6:$B$500,$C$5,'Daily Transactions'!$C$6:$C$500,"Expense",'Daily Transactions'!$D$6:$D$500,"Supplier Claims",'Daily Transactions'!$A$6:$A$500,"&gt;="&amp;DATE($F$5,2,1),'Daily Transactions'!$A$6:$A$500,"&lt;"&amp;EDATE(DATE($F$5,2,1),1))</f>
        <v>0</v>
      </c>
      <c r="E13" s="20">
        <f>SUMIFS('Daily Transactions'!$F$6:$F$500,'Daily Transactions'!$B$6:$B$500,$C$5,'Daily Transactions'!$C$6:$C$500,"Expense",'Daily Transactions'!$D$6:$D$500,"Supplier Claims",'Daily Transactions'!$A$6:$A$500,"&gt;="&amp;DATE($F$5,3,1),'Daily Transactions'!$A$6:$A$500,"&lt;"&amp;EDATE(DATE($F$5,3,1),1))</f>
        <v>0</v>
      </c>
      <c r="F13" s="20">
        <f>SUMIFS('Daily Transactions'!$F$6:$F$500,'Daily Transactions'!$B$6:$B$500,$C$5,'Daily Transactions'!$C$6:$C$500,"Expense",'Daily Transactions'!$D$6:$D$500,"Supplier Claims",'Daily Transactions'!$A$6:$A$500,"&gt;="&amp;DATE($F$5,4,1),'Daily Transactions'!$A$6:$A$500,"&lt;"&amp;EDATE(DATE($F$5,4,1),1))</f>
        <v>0</v>
      </c>
      <c r="G13" s="20">
        <f>SUMIFS('Daily Transactions'!$F$6:$F$500,'Daily Transactions'!$B$6:$B$500,$C$5,'Daily Transactions'!$C$6:$C$500,"Expense",'Daily Transactions'!$D$6:$D$500,"Supplier Claims",'Daily Transactions'!$A$6:$A$500,"&gt;="&amp;DATE($F$5,5,1),'Daily Transactions'!$A$6:$A$500,"&lt;"&amp;EDATE(DATE($F$5,5,1),1))</f>
        <v>0</v>
      </c>
      <c r="H13" s="20">
        <f>SUMIFS('Daily Transactions'!$F$6:$F$500,'Daily Transactions'!$B$6:$B$500,$C$5,'Daily Transactions'!$C$6:$C$500,"Expense",'Daily Transactions'!$D$6:$D$500,"Supplier Claims",'Daily Transactions'!$A$6:$A$500,"&gt;="&amp;DATE($F$5,6,1),'Daily Transactions'!$A$6:$A$500,"&lt;"&amp;EDATE(DATE($F$5,6,1),1))</f>
        <v>0</v>
      </c>
      <c r="I13" s="20">
        <f>SUMIFS('Daily Transactions'!$F$6:$F$500,'Daily Transactions'!$B$6:$B$500,$C$5,'Daily Transactions'!$C$6:$C$500,"Expense",'Daily Transactions'!$D$6:$D$500,"Supplier Claims",'Daily Transactions'!$A$6:$A$500,"&gt;="&amp;DATE($F$5,7,1),'Daily Transactions'!$A$6:$A$500,"&lt;"&amp;EDATE(DATE($F$5,7,1),1))</f>
        <v>0</v>
      </c>
      <c r="J13" s="20">
        <f>SUMIFS('Daily Transactions'!$F$6:$F$500,'Daily Transactions'!$B$6:$B$500,$C$5,'Daily Transactions'!$C$6:$C$500,"Expense",'Daily Transactions'!$D$6:$D$500,"Supplier Claims",'Daily Transactions'!$A$6:$A$500,"&gt;="&amp;DATE($F$5,8,1),'Daily Transactions'!$A$6:$A$500,"&lt;"&amp;EDATE(DATE($F$5,8,1),1))</f>
        <v>0</v>
      </c>
      <c r="K13" s="20">
        <f>SUMIFS('Daily Transactions'!$F$6:$F$500,'Daily Transactions'!$B$6:$B$500,$C$5,'Daily Transactions'!$C$6:$C$500,"Expense",'Daily Transactions'!$D$6:$D$500,"Supplier Claims",'Daily Transactions'!$A$6:$A$500,"&gt;="&amp;DATE($F$5,9,1),'Daily Transactions'!$A$6:$A$500,"&lt;"&amp;EDATE(DATE($F$5,9,1),1))</f>
        <v>0</v>
      </c>
      <c r="L13" s="20">
        <f>SUMIFS('Daily Transactions'!$F$6:$F$500,'Daily Transactions'!$B$6:$B$500,$C$5,'Daily Transactions'!$C$6:$C$500,"Expense",'Daily Transactions'!$D$6:$D$500,"Supplier Claims",'Daily Transactions'!$A$6:$A$500,"&gt;="&amp;DATE($F$5,10,1),'Daily Transactions'!$A$6:$A$500,"&lt;"&amp;EDATE(DATE($F$5,10,1),1))</f>
        <v>0</v>
      </c>
      <c r="M13" s="20">
        <f>SUMIFS('Daily Transactions'!$F$6:$F$500,'Daily Transactions'!$B$6:$B$500,$C$5,'Daily Transactions'!$C$6:$C$500,"Expense",'Daily Transactions'!$D$6:$D$500,"Supplier Claims",'Daily Transactions'!$A$6:$A$500,"&gt;="&amp;DATE($F$5,11,1),'Daily Transactions'!$A$6:$A$500,"&lt;"&amp;EDATE(DATE($F$5,11,1),1))</f>
        <v>0</v>
      </c>
      <c r="N13" s="20">
        <f>SUMIFS('Daily Transactions'!$F$6:$F$500,'Daily Transactions'!$B$6:$B$500,$C$5,'Daily Transactions'!$C$6:$C$500,"Expense",'Daily Transactions'!$D$6:$D$500,"Supplier Claims",'Daily Transactions'!$A$6:$A$500,"&gt;="&amp;DATE($F$5,12,1),'Daily Transactions'!$A$6:$A$500,"&lt;"&amp;EDATE(DATE($F$5,12,1),1))</f>
        <v>0</v>
      </c>
      <c r="O13" s="64">
        <f t="shared" si="1"/>
        <v>0</v>
      </c>
    </row>
    <row r="14" ht="15.0" customHeight="1">
      <c r="A14" s="1"/>
      <c r="B14" s="16" t="s">
        <v>173</v>
      </c>
      <c r="C14" s="17">
        <f>SUMIFS('Daily Transactions'!$F$6:$F$500,'Daily Transactions'!$B$6:$B$500,$C$5,'Daily Transactions'!$C$6:$C$500,"Expense",'Daily Transactions'!$D$6:$D$500,"Printing Materials",'Daily Transactions'!$A$6:$A$500,"&gt;="&amp;DATE($F$5,1,1),'Daily Transactions'!$A$6:$A$500,"&lt;"&amp;EDATE(DATE($F$5,1,1),1))</f>
        <v>0</v>
      </c>
      <c r="D14" s="17">
        <f>SUMIFS('Daily Transactions'!$F$6:$F$500,'Daily Transactions'!$B$6:$B$500,$C$5,'Daily Transactions'!$C$6:$C$500,"Expense",'Daily Transactions'!$D$6:$D$500,"Printing Materials",'Daily Transactions'!$A$6:$A$500,"&gt;="&amp;DATE($F$5,2,1),'Daily Transactions'!$A$6:$A$500,"&lt;"&amp;EDATE(DATE($F$5,2,1),1))</f>
        <v>0</v>
      </c>
      <c r="E14" s="17">
        <f>SUMIFS('Daily Transactions'!$F$6:$F$500,'Daily Transactions'!$B$6:$B$500,$C$5,'Daily Transactions'!$C$6:$C$500,"Expense",'Daily Transactions'!$D$6:$D$500,"Printing Materials",'Daily Transactions'!$A$6:$A$500,"&gt;="&amp;DATE($F$5,3,1),'Daily Transactions'!$A$6:$A$500,"&lt;"&amp;EDATE(DATE($F$5,3,1),1))</f>
        <v>0</v>
      </c>
      <c r="F14" s="17">
        <f>SUMIFS('Daily Transactions'!$F$6:$F$500,'Daily Transactions'!$B$6:$B$500,$C$5,'Daily Transactions'!$C$6:$C$500,"Expense",'Daily Transactions'!$D$6:$D$500,"Printing Materials",'Daily Transactions'!$A$6:$A$500,"&gt;="&amp;DATE($F$5,4,1),'Daily Transactions'!$A$6:$A$500,"&lt;"&amp;EDATE(DATE($F$5,4,1),1))</f>
        <v>0</v>
      </c>
      <c r="G14" s="17">
        <f>SUMIFS('Daily Transactions'!$F$6:$F$500,'Daily Transactions'!$B$6:$B$500,$C$5,'Daily Transactions'!$C$6:$C$500,"Expense",'Daily Transactions'!$D$6:$D$500,"Printing Materials",'Daily Transactions'!$A$6:$A$500,"&gt;="&amp;DATE($F$5,5,1),'Daily Transactions'!$A$6:$A$500,"&lt;"&amp;EDATE(DATE($F$5,5,1),1))</f>
        <v>0</v>
      </c>
      <c r="H14" s="17">
        <f>SUMIFS('Daily Transactions'!$F$6:$F$500,'Daily Transactions'!$B$6:$B$500,$C$5,'Daily Transactions'!$C$6:$C$500,"Expense",'Daily Transactions'!$D$6:$D$500,"Printing Materials",'Daily Transactions'!$A$6:$A$500,"&gt;="&amp;DATE($F$5,6,1),'Daily Transactions'!$A$6:$A$500,"&lt;"&amp;EDATE(DATE($F$5,6,1),1))</f>
        <v>0</v>
      </c>
      <c r="I14" s="17">
        <f>SUMIFS('Daily Transactions'!$F$6:$F$500,'Daily Transactions'!$B$6:$B$500,$C$5,'Daily Transactions'!$C$6:$C$500,"Expense",'Daily Transactions'!$D$6:$D$500,"Printing Materials",'Daily Transactions'!$A$6:$A$500,"&gt;="&amp;DATE($F$5,7,1),'Daily Transactions'!$A$6:$A$500,"&lt;"&amp;EDATE(DATE($F$5,7,1),1))</f>
        <v>0</v>
      </c>
      <c r="J14" s="17">
        <f>SUMIFS('Daily Transactions'!$F$6:$F$500,'Daily Transactions'!$B$6:$B$500,$C$5,'Daily Transactions'!$C$6:$C$500,"Expense",'Daily Transactions'!$D$6:$D$500,"Printing Materials",'Daily Transactions'!$A$6:$A$500,"&gt;="&amp;DATE($F$5,8,1),'Daily Transactions'!$A$6:$A$500,"&lt;"&amp;EDATE(DATE($F$5,8,1),1))</f>
        <v>0</v>
      </c>
      <c r="K14" s="17">
        <f>SUMIFS('Daily Transactions'!$F$6:$F$500,'Daily Transactions'!$B$6:$B$500,$C$5,'Daily Transactions'!$C$6:$C$500,"Expense",'Daily Transactions'!$D$6:$D$500,"Printing Materials",'Daily Transactions'!$A$6:$A$500,"&gt;="&amp;DATE($F$5,9,1),'Daily Transactions'!$A$6:$A$500,"&lt;"&amp;EDATE(DATE($F$5,9,1),1))</f>
        <v>0</v>
      </c>
      <c r="L14" s="17">
        <f>SUMIFS('Daily Transactions'!$F$6:$F$500,'Daily Transactions'!$B$6:$B$500,$C$5,'Daily Transactions'!$C$6:$C$500,"Expense",'Daily Transactions'!$D$6:$D$500,"Printing Materials",'Daily Transactions'!$A$6:$A$500,"&gt;="&amp;DATE($F$5,10,1),'Daily Transactions'!$A$6:$A$500,"&lt;"&amp;EDATE(DATE($F$5,10,1),1))</f>
        <v>0</v>
      </c>
      <c r="M14" s="17">
        <f>SUMIFS('Daily Transactions'!$F$6:$F$500,'Daily Transactions'!$B$6:$B$500,$C$5,'Daily Transactions'!$C$6:$C$500,"Expense",'Daily Transactions'!$D$6:$D$500,"Printing Materials",'Daily Transactions'!$A$6:$A$500,"&gt;="&amp;DATE($F$5,11,1),'Daily Transactions'!$A$6:$A$500,"&lt;"&amp;EDATE(DATE($F$5,11,1),1))</f>
        <v>0</v>
      </c>
      <c r="N14" s="17">
        <f>SUMIFS('Daily Transactions'!$F$6:$F$500,'Daily Transactions'!$B$6:$B$500,$C$5,'Daily Transactions'!$C$6:$C$500,"Expense",'Daily Transactions'!$D$6:$D$500,"Printing Materials",'Daily Transactions'!$A$6:$A$500,"&gt;="&amp;DATE($F$5,12,1),'Daily Transactions'!$A$6:$A$500,"&lt;"&amp;EDATE(DATE($F$5,12,1),1))</f>
        <v>0</v>
      </c>
      <c r="O14" s="63">
        <f t="shared" si="1"/>
        <v>0</v>
      </c>
    </row>
    <row r="15" ht="15.0" customHeight="1">
      <c r="A15" s="1"/>
      <c r="B15" s="19" t="s">
        <v>174</v>
      </c>
      <c r="C15" s="20">
        <f>SUMIFS('Daily Transactions'!$F$6:$F$500,'Daily Transactions'!$B$6:$B$500,$C$5,'Daily Transactions'!$C$6:$C$500,"Expense",'Daily Transactions'!$D$6:$D$500,"Transport",'Daily Transactions'!$A$6:$A$500,"&gt;="&amp;DATE($F$5,1,1),'Daily Transactions'!$A$6:$A$500,"&lt;"&amp;EDATE(DATE($F$5,1,1),1))</f>
        <v>0</v>
      </c>
      <c r="D15" s="20">
        <f>SUMIFS('Daily Transactions'!$F$6:$F$500,'Daily Transactions'!$B$6:$B$500,$C$5,'Daily Transactions'!$C$6:$C$500,"Expense",'Daily Transactions'!$D$6:$D$500,"Transport",'Daily Transactions'!$A$6:$A$500,"&gt;="&amp;DATE($F$5,2,1),'Daily Transactions'!$A$6:$A$500,"&lt;"&amp;EDATE(DATE($F$5,2,1),1))</f>
        <v>0</v>
      </c>
      <c r="E15" s="20">
        <f>SUMIFS('Daily Transactions'!$F$6:$F$500,'Daily Transactions'!$B$6:$B$500,$C$5,'Daily Transactions'!$C$6:$C$500,"Expense",'Daily Transactions'!$D$6:$D$500,"Transport",'Daily Transactions'!$A$6:$A$500,"&gt;="&amp;DATE($F$5,3,1),'Daily Transactions'!$A$6:$A$500,"&lt;"&amp;EDATE(DATE($F$5,3,1),1))</f>
        <v>0</v>
      </c>
      <c r="F15" s="20">
        <f>SUMIFS('Daily Transactions'!$F$6:$F$500,'Daily Transactions'!$B$6:$B$500,$C$5,'Daily Transactions'!$C$6:$C$500,"Expense",'Daily Transactions'!$D$6:$D$500,"Transport",'Daily Transactions'!$A$6:$A$500,"&gt;="&amp;DATE($F$5,4,1),'Daily Transactions'!$A$6:$A$500,"&lt;"&amp;EDATE(DATE($F$5,4,1),1))</f>
        <v>0</v>
      </c>
      <c r="G15" s="20">
        <f>SUMIFS('Daily Transactions'!$F$6:$F$500,'Daily Transactions'!$B$6:$B$500,$C$5,'Daily Transactions'!$C$6:$C$500,"Expense",'Daily Transactions'!$D$6:$D$500,"Transport",'Daily Transactions'!$A$6:$A$500,"&gt;="&amp;DATE($F$5,5,1),'Daily Transactions'!$A$6:$A$500,"&lt;"&amp;EDATE(DATE($F$5,5,1),1))</f>
        <v>0</v>
      </c>
      <c r="H15" s="20">
        <f>SUMIFS('Daily Transactions'!$F$6:$F$500,'Daily Transactions'!$B$6:$B$500,$C$5,'Daily Transactions'!$C$6:$C$500,"Expense",'Daily Transactions'!$D$6:$D$500,"Transport",'Daily Transactions'!$A$6:$A$500,"&gt;="&amp;DATE($F$5,6,1),'Daily Transactions'!$A$6:$A$500,"&lt;"&amp;EDATE(DATE($F$5,6,1),1))</f>
        <v>0</v>
      </c>
      <c r="I15" s="20">
        <f>SUMIFS('Daily Transactions'!$F$6:$F$500,'Daily Transactions'!$B$6:$B$500,$C$5,'Daily Transactions'!$C$6:$C$500,"Expense",'Daily Transactions'!$D$6:$D$500,"Transport",'Daily Transactions'!$A$6:$A$500,"&gt;="&amp;DATE($F$5,7,1),'Daily Transactions'!$A$6:$A$500,"&lt;"&amp;EDATE(DATE($F$5,7,1),1))</f>
        <v>0</v>
      </c>
      <c r="J15" s="20">
        <f>SUMIFS('Daily Transactions'!$F$6:$F$500,'Daily Transactions'!$B$6:$B$500,$C$5,'Daily Transactions'!$C$6:$C$500,"Expense",'Daily Transactions'!$D$6:$D$500,"Transport",'Daily Transactions'!$A$6:$A$500,"&gt;="&amp;DATE($F$5,8,1),'Daily Transactions'!$A$6:$A$500,"&lt;"&amp;EDATE(DATE($F$5,8,1),1))</f>
        <v>0</v>
      </c>
      <c r="K15" s="20">
        <f>SUMIFS('Daily Transactions'!$F$6:$F$500,'Daily Transactions'!$B$6:$B$500,$C$5,'Daily Transactions'!$C$6:$C$500,"Expense",'Daily Transactions'!$D$6:$D$500,"Transport",'Daily Transactions'!$A$6:$A$500,"&gt;="&amp;DATE($F$5,9,1),'Daily Transactions'!$A$6:$A$500,"&lt;"&amp;EDATE(DATE($F$5,9,1),1))</f>
        <v>0</v>
      </c>
      <c r="L15" s="20">
        <f>SUMIFS('Daily Transactions'!$F$6:$F$500,'Daily Transactions'!$B$6:$B$500,$C$5,'Daily Transactions'!$C$6:$C$500,"Expense",'Daily Transactions'!$D$6:$D$500,"Transport",'Daily Transactions'!$A$6:$A$500,"&gt;="&amp;DATE($F$5,10,1),'Daily Transactions'!$A$6:$A$500,"&lt;"&amp;EDATE(DATE($F$5,10,1),1))</f>
        <v>0</v>
      </c>
      <c r="M15" s="20">
        <f>SUMIFS('Daily Transactions'!$F$6:$F$500,'Daily Transactions'!$B$6:$B$500,$C$5,'Daily Transactions'!$C$6:$C$500,"Expense",'Daily Transactions'!$D$6:$D$500,"Transport",'Daily Transactions'!$A$6:$A$500,"&gt;="&amp;DATE($F$5,11,1),'Daily Transactions'!$A$6:$A$500,"&lt;"&amp;EDATE(DATE($F$5,11,1),1))</f>
        <v>0</v>
      </c>
      <c r="N15" s="20">
        <f>SUMIFS('Daily Transactions'!$F$6:$F$500,'Daily Transactions'!$B$6:$B$500,$C$5,'Daily Transactions'!$C$6:$C$500,"Expense",'Daily Transactions'!$D$6:$D$500,"Transport",'Daily Transactions'!$A$6:$A$500,"&gt;="&amp;DATE($F$5,12,1),'Daily Transactions'!$A$6:$A$500,"&lt;"&amp;EDATE(DATE($F$5,12,1),1))</f>
        <v>0</v>
      </c>
      <c r="O15" s="64">
        <f t="shared" si="1"/>
        <v>0</v>
      </c>
    </row>
    <row r="16" ht="15.0" customHeight="1">
      <c r="A16" s="1"/>
      <c r="B16" s="16" t="s">
        <v>175</v>
      </c>
      <c r="C16" s="17">
        <f>SUMIFS('Daily Transactions'!$F$6:$F$500,'Daily Transactions'!$B$6:$B$500,$C$5,'Daily Transactions'!$C$6:$C$500,"Expense",'Daily Transactions'!$D$6:$D$500,"Repairs &amp; Maintenance",'Daily Transactions'!$A$6:$A$500,"&gt;="&amp;DATE($F$5,1,1),'Daily Transactions'!$A$6:$A$500,"&lt;"&amp;EDATE(DATE($F$5,1,1),1))</f>
        <v>0</v>
      </c>
      <c r="D16" s="17">
        <f>SUMIFS('Daily Transactions'!$F$6:$F$500,'Daily Transactions'!$B$6:$B$500,$C$5,'Daily Transactions'!$C$6:$C$500,"Expense",'Daily Transactions'!$D$6:$D$500,"Repairs &amp; Maintenance",'Daily Transactions'!$A$6:$A$500,"&gt;="&amp;DATE($F$5,2,1),'Daily Transactions'!$A$6:$A$500,"&lt;"&amp;EDATE(DATE($F$5,2,1),1))</f>
        <v>0</v>
      </c>
      <c r="E16" s="17">
        <f>SUMIFS('Daily Transactions'!$F$6:$F$500,'Daily Transactions'!$B$6:$B$500,$C$5,'Daily Transactions'!$C$6:$C$500,"Expense",'Daily Transactions'!$D$6:$D$500,"Repairs &amp; Maintenance",'Daily Transactions'!$A$6:$A$500,"&gt;="&amp;DATE($F$5,3,1),'Daily Transactions'!$A$6:$A$500,"&lt;"&amp;EDATE(DATE($F$5,3,1),1))</f>
        <v>0</v>
      </c>
      <c r="F16" s="17">
        <f>SUMIFS('Daily Transactions'!$F$6:$F$500,'Daily Transactions'!$B$6:$B$500,$C$5,'Daily Transactions'!$C$6:$C$500,"Expense",'Daily Transactions'!$D$6:$D$500,"Repairs &amp; Maintenance",'Daily Transactions'!$A$6:$A$500,"&gt;="&amp;DATE($F$5,4,1),'Daily Transactions'!$A$6:$A$500,"&lt;"&amp;EDATE(DATE($F$5,4,1),1))</f>
        <v>0</v>
      </c>
      <c r="G16" s="17">
        <f>SUMIFS('Daily Transactions'!$F$6:$F$500,'Daily Transactions'!$B$6:$B$500,$C$5,'Daily Transactions'!$C$6:$C$500,"Expense",'Daily Transactions'!$D$6:$D$500,"Repairs &amp; Maintenance",'Daily Transactions'!$A$6:$A$500,"&gt;="&amp;DATE($F$5,5,1),'Daily Transactions'!$A$6:$A$500,"&lt;"&amp;EDATE(DATE($F$5,5,1),1))</f>
        <v>0</v>
      </c>
      <c r="H16" s="17">
        <f>SUMIFS('Daily Transactions'!$F$6:$F$500,'Daily Transactions'!$B$6:$B$500,$C$5,'Daily Transactions'!$C$6:$C$500,"Expense",'Daily Transactions'!$D$6:$D$500,"Repairs &amp; Maintenance",'Daily Transactions'!$A$6:$A$500,"&gt;="&amp;DATE($F$5,6,1),'Daily Transactions'!$A$6:$A$500,"&lt;"&amp;EDATE(DATE($F$5,6,1),1))</f>
        <v>0</v>
      </c>
      <c r="I16" s="17">
        <f>SUMIFS('Daily Transactions'!$F$6:$F$500,'Daily Transactions'!$B$6:$B$500,$C$5,'Daily Transactions'!$C$6:$C$500,"Expense",'Daily Transactions'!$D$6:$D$500,"Repairs &amp; Maintenance",'Daily Transactions'!$A$6:$A$500,"&gt;="&amp;DATE($F$5,7,1),'Daily Transactions'!$A$6:$A$500,"&lt;"&amp;EDATE(DATE($F$5,7,1),1))</f>
        <v>0</v>
      </c>
      <c r="J16" s="17">
        <f>SUMIFS('Daily Transactions'!$F$6:$F$500,'Daily Transactions'!$B$6:$B$500,$C$5,'Daily Transactions'!$C$6:$C$500,"Expense",'Daily Transactions'!$D$6:$D$500,"Repairs &amp; Maintenance",'Daily Transactions'!$A$6:$A$500,"&gt;="&amp;DATE($F$5,8,1),'Daily Transactions'!$A$6:$A$500,"&lt;"&amp;EDATE(DATE($F$5,8,1),1))</f>
        <v>0</v>
      </c>
      <c r="K16" s="17">
        <f>SUMIFS('Daily Transactions'!$F$6:$F$500,'Daily Transactions'!$B$6:$B$500,$C$5,'Daily Transactions'!$C$6:$C$500,"Expense",'Daily Transactions'!$D$6:$D$500,"Repairs &amp; Maintenance",'Daily Transactions'!$A$6:$A$500,"&gt;="&amp;DATE($F$5,9,1),'Daily Transactions'!$A$6:$A$500,"&lt;"&amp;EDATE(DATE($F$5,9,1),1))</f>
        <v>0</v>
      </c>
      <c r="L16" s="17">
        <f>SUMIFS('Daily Transactions'!$F$6:$F$500,'Daily Transactions'!$B$6:$B$500,$C$5,'Daily Transactions'!$C$6:$C$500,"Expense",'Daily Transactions'!$D$6:$D$500,"Repairs &amp; Maintenance",'Daily Transactions'!$A$6:$A$500,"&gt;="&amp;DATE($F$5,10,1),'Daily Transactions'!$A$6:$A$500,"&lt;"&amp;EDATE(DATE($F$5,10,1),1))</f>
        <v>0</v>
      </c>
      <c r="M16" s="17">
        <f>SUMIFS('Daily Transactions'!$F$6:$F$500,'Daily Transactions'!$B$6:$B$500,$C$5,'Daily Transactions'!$C$6:$C$500,"Expense",'Daily Transactions'!$D$6:$D$500,"Repairs &amp; Maintenance",'Daily Transactions'!$A$6:$A$500,"&gt;="&amp;DATE($F$5,11,1),'Daily Transactions'!$A$6:$A$500,"&lt;"&amp;EDATE(DATE($F$5,11,1),1))</f>
        <v>0</v>
      </c>
      <c r="N16" s="17">
        <f>SUMIFS('Daily Transactions'!$F$6:$F$500,'Daily Transactions'!$B$6:$B$500,$C$5,'Daily Transactions'!$C$6:$C$500,"Expense",'Daily Transactions'!$D$6:$D$500,"Repairs &amp; Maintenance",'Daily Transactions'!$A$6:$A$500,"&gt;="&amp;DATE($F$5,12,1),'Daily Transactions'!$A$6:$A$500,"&lt;"&amp;EDATE(DATE($F$5,12,1),1))</f>
        <v>0</v>
      </c>
      <c r="O16" s="63">
        <f t="shared" si="1"/>
        <v>0</v>
      </c>
    </row>
    <row r="17" ht="15.0" customHeight="1">
      <c r="A17" s="1"/>
      <c r="B17" s="19" t="s">
        <v>176</v>
      </c>
      <c r="C17" s="20">
        <f>SUMIFS('Daily Transactions'!$F$6:$F$500,'Daily Transactions'!$B$6:$B$500,$C$5,'Daily Transactions'!$C$6:$C$500,"Expense",'Daily Transactions'!$D$6:$D$500,"Other Expense",'Daily Transactions'!$A$6:$A$500,"&gt;="&amp;DATE($F$5,1,1),'Daily Transactions'!$A$6:$A$500,"&lt;"&amp;EDATE(DATE($F$5,1,1),1))</f>
        <v>0</v>
      </c>
      <c r="D17" s="20">
        <f>SUMIFS('Daily Transactions'!$F$6:$F$500,'Daily Transactions'!$B$6:$B$500,$C$5,'Daily Transactions'!$C$6:$C$500,"Expense",'Daily Transactions'!$D$6:$D$500,"Other Expense",'Daily Transactions'!$A$6:$A$500,"&gt;="&amp;DATE($F$5,2,1),'Daily Transactions'!$A$6:$A$500,"&lt;"&amp;EDATE(DATE($F$5,2,1),1))</f>
        <v>0</v>
      </c>
      <c r="E17" s="20">
        <f>SUMIFS('Daily Transactions'!$F$6:$F$500,'Daily Transactions'!$B$6:$B$500,$C$5,'Daily Transactions'!$C$6:$C$500,"Expense",'Daily Transactions'!$D$6:$D$500,"Other Expense",'Daily Transactions'!$A$6:$A$500,"&gt;="&amp;DATE($F$5,3,1),'Daily Transactions'!$A$6:$A$500,"&lt;"&amp;EDATE(DATE($F$5,3,1),1))</f>
        <v>0</v>
      </c>
      <c r="F17" s="20">
        <f>SUMIFS('Daily Transactions'!$F$6:$F$500,'Daily Transactions'!$B$6:$B$500,$C$5,'Daily Transactions'!$C$6:$C$500,"Expense",'Daily Transactions'!$D$6:$D$500,"Other Expense",'Daily Transactions'!$A$6:$A$500,"&gt;="&amp;DATE($F$5,4,1),'Daily Transactions'!$A$6:$A$500,"&lt;"&amp;EDATE(DATE($F$5,4,1),1))</f>
        <v>0</v>
      </c>
      <c r="G17" s="20">
        <f>SUMIFS('Daily Transactions'!$F$6:$F$500,'Daily Transactions'!$B$6:$B$500,$C$5,'Daily Transactions'!$C$6:$C$500,"Expense",'Daily Transactions'!$D$6:$D$500,"Other Expense",'Daily Transactions'!$A$6:$A$500,"&gt;="&amp;DATE($F$5,5,1),'Daily Transactions'!$A$6:$A$500,"&lt;"&amp;EDATE(DATE($F$5,5,1),1))</f>
        <v>0</v>
      </c>
      <c r="H17" s="20">
        <f>SUMIFS('Daily Transactions'!$F$6:$F$500,'Daily Transactions'!$B$6:$B$500,$C$5,'Daily Transactions'!$C$6:$C$500,"Expense",'Daily Transactions'!$D$6:$D$500,"Other Expense",'Daily Transactions'!$A$6:$A$500,"&gt;="&amp;DATE($F$5,6,1),'Daily Transactions'!$A$6:$A$500,"&lt;"&amp;EDATE(DATE($F$5,6,1),1))</f>
        <v>0</v>
      </c>
      <c r="I17" s="20">
        <f>SUMIFS('Daily Transactions'!$F$6:$F$500,'Daily Transactions'!$B$6:$B$500,$C$5,'Daily Transactions'!$C$6:$C$500,"Expense",'Daily Transactions'!$D$6:$D$500,"Other Expense",'Daily Transactions'!$A$6:$A$500,"&gt;="&amp;DATE($F$5,7,1),'Daily Transactions'!$A$6:$A$500,"&lt;"&amp;EDATE(DATE($F$5,7,1),1))</f>
        <v>0</v>
      </c>
      <c r="J17" s="20">
        <f>SUMIFS('Daily Transactions'!$F$6:$F$500,'Daily Transactions'!$B$6:$B$500,$C$5,'Daily Transactions'!$C$6:$C$500,"Expense",'Daily Transactions'!$D$6:$D$500,"Other Expense",'Daily Transactions'!$A$6:$A$500,"&gt;="&amp;DATE($F$5,8,1),'Daily Transactions'!$A$6:$A$500,"&lt;"&amp;EDATE(DATE($F$5,8,1),1))</f>
        <v>0</v>
      </c>
      <c r="K17" s="20">
        <f>SUMIFS('Daily Transactions'!$F$6:$F$500,'Daily Transactions'!$B$6:$B$500,$C$5,'Daily Transactions'!$C$6:$C$500,"Expense",'Daily Transactions'!$D$6:$D$500,"Other Expense",'Daily Transactions'!$A$6:$A$500,"&gt;="&amp;DATE($F$5,9,1),'Daily Transactions'!$A$6:$A$500,"&lt;"&amp;EDATE(DATE($F$5,9,1),1))</f>
        <v>0</v>
      </c>
      <c r="L17" s="20">
        <f>SUMIFS('Daily Transactions'!$F$6:$F$500,'Daily Transactions'!$B$6:$B$500,$C$5,'Daily Transactions'!$C$6:$C$500,"Expense",'Daily Transactions'!$D$6:$D$500,"Other Expense",'Daily Transactions'!$A$6:$A$500,"&gt;="&amp;DATE($F$5,10,1),'Daily Transactions'!$A$6:$A$500,"&lt;"&amp;EDATE(DATE($F$5,10,1),1))</f>
        <v>0</v>
      </c>
      <c r="M17" s="20">
        <f>SUMIFS('Daily Transactions'!$F$6:$F$500,'Daily Transactions'!$B$6:$B$500,$C$5,'Daily Transactions'!$C$6:$C$500,"Expense",'Daily Transactions'!$D$6:$D$500,"Other Expense",'Daily Transactions'!$A$6:$A$500,"&gt;="&amp;DATE($F$5,11,1),'Daily Transactions'!$A$6:$A$500,"&lt;"&amp;EDATE(DATE($F$5,11,1),1))</f>
        <v>0</v>
      </c>
      <c r="N17" s="20">
        <f>SUMIFS('Daily Transactions'!$F$6:$F$500,'Daily Transactions'!$B$6:$B$500,$C$5,'Daily Transactions'!$C$6:$C$500,"Expense",'Daily Transactions'!$D$6:$D$500,"Other Expense",'Daily Transactions'!$A$6:$A$500,"&gt;="&amp;DATE($F$5,12,1),'Daily Transactions'!$A$6:$A$500,"&lt;"&amp;EDATE(DATE($F$5,12,1),1))</f>
        <v>0</v>
      </c>
      <c r="O17" s="64">
        <f t="shared" si="1"/>
        <v>0</v>
      </c>
    </row>
    <row r="18" ht="15.0" customHeight="1">
      <c r="A18" s="1"/>
      <c r="B18" s="21" t="s">
        <v>177</v>
      </c>
      <c r="C18" s="22">
        <f t="shared" ref="C18:N18" si="2">C8-SUM(C9:C17)</f>
        <v>0</v>
      </c>
      <c r="D18" s="22">
        <f t="shared" si="2"/>
        <v>0</v>
      </c>
      <c r="E18" s="22">
        <f t="shared" si="2"/>
        <v>0</v>
      </c>
      <c r="F18" s="22">
        <f t="shared" si="2"/>
        <v>0</v>
      </c>
      <c r="G18" s="22">
        <f t="shared" si="2"/>
        <v>0</v>
      </c>
      <c r="H18" s="22">
        <f t="shared" si="2"/>
        <v>0</v>
      </c>
      <c r="I18" s="22">
        <f t="shared" si="2"/>
        <v>0</v>
      </c>
      <c r="J18" s="22">
        <f t="shared" si="2"/>
        <v>0</v>
      </c>
      <c r="K18" s="22">
        <f t="shared" si="2"/>
        <v>0</v>
      </c>
      <c r="L18" s="22">
        <f t="shared" si="2"/>
        <v>0</v>
      </c>
      <c r="M18" s="22">
        <f t="shared" si="2"/>
        <v>0</v>
      </c>
      <c r="N18" s="22">
        <f t="shared" si="2"/>
        <v>0</v>
      </c>
      <c r="O18" s="22">
        <f t="shared" si="1"/>
        <v>0</v>
      </c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</row>
    <row r="21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</row>
    <row r="22" ht="15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3" ht="15.7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</row>
    <row r="24" ht="15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</row>
    <row r="25" ht="15.7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</row>
    <row r="26" ht="15.7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</row>
    <row r="27" ht="15.7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</row>
    <row r="28" ht="15.7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</row>
    <row r="29" ht="15.7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</row>
    <row r="33" ht="15.7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</row>
    <row r="34" ht="15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</row>
    <row r="35" ht="15.7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6" ht="15.7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</row>
    <row r="37" ht="15.7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</row>
    <row r="38" ht="15.7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</row>
    <row r="39" ht="15.7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</row>
    <row r="40" ht="15.7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</row>
    <row r="41" ht="15.7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</row>
    <row r="42" ht="15.7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</row>
    <row r="43" ht="15.7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2">
    <mergeCell ref="B2:N2"/>
    <mergeCell ref="B3:N3"/>
  </mergeCells>
  <dataValidations>
    <dataValidation type="list" allowBlank="1" sqref="C5">
      <formula1>Setup!$B$6:$B$13</formula1>
    </dataValidation>
  </dataValidation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11.0"/>
    <col customWidth="1" min="2" max="2" width="13.0"/>
    <col customWidth="1" min="3" max="3" width="15.0"/>
    <col customWidth="1" min="4" max="4" width="22.0"/>
    <col customWidth="1" min="5" max="5" width="30.0"/>
    <col customWidth="1" min="6" max="6" width="12.0"/>
    <col customWidth="1" min="7" max="7" width="13.0"/>
    <col customWidth="1" min="8" max="8" width="16.0"/>
    <col customWidth="1" min="9" max="9" width="13.0"/>
    <col customWidth="1" min="10" max="10" width="15.0"/>
    <col customWidth="1" min="11" max="11" width="14.0"/>
    <col customWidth="1" min="12" max="12" width="11.0"/>
    <col customWidth="1" min="13" max="13" width="14.0"/>
    <col customWidth="1" min="14" max="14" width="24.0"/>
    <col customWidth="1" min="15" max="15" width="30.0"/>
    <col customWidth="1" min="16" max="26" width="8.71"/>
  </cols>
  <sheetData>
    <row r="1" ht="21.75" customHeight="1">
      <c r="A1" s="2" t="s">
        <v>178</v>
      </c>
    </row>
    <row r="2" ht="15.0" customHeight="1">
      <c r="A2" s="3" t="s">
        <v>179</v>
      </c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15.0" customHeight="1">
      <c r="A4" s="4" t="s">
        <v>180</v>
      </c>
      <c r="B4" s="65">
        <f>COUNTIFS(K7:K200,"Pending")</f>
        <v>0</v>
      </c>
      <c r="C4" s="4" t="s">
        <v>88</v>
      </c>
      <c r="D4" s="66">
        <f>COUNTIFS(K7:K200,"Partially Paid")</f>
        <v>0</v>
      </c>
      <c r="E4" s="4" t="s">
        <v>181</v>
      </c>
      <c r="F4" s="1"/>
      <c r="G4" s="67">
        <f>SUM(J7:J200)</f>
        <v>0</v>
      </c>
      <c r="H4" s="1"/>
      <c r="I4" s="1"/>
      <c r="J4" s="1"/>
      <c r="K4" s="1"/>
      <c r="L4" s="1"/>
      <c r="M4" s="1"/>
      <c r="N4" s="1"/>
      <c r="O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</row>
    <row r="6" ht="31.5" customHeight="1">
      <c r="A6" s="15" t="s">
        <v>182</v>
      </c>
      <c r="B6" s="15" t="s">
        <v>183</v>
      </c>
      <c r="C6" s="15" t="s">
        <v>10</v>
      </c>
      <c r="D6" s="15" t="s">
        <v>184</v>
      </c>
      <c r="E6" s="15" t="s">
        <v>185</v>
      </c>
      <c r="F6" s="15" t="s">
        <v>186</v>
      </c>
      <c r="G6" s="15" t="s">
        <v>78</v>
      </c>
      <c r="H6" s="15" t="s">
        <v>187</v>
      </c>
      <c r="I6" s="15" t="s">
        <v>94</v>
      </c>
      <c r="J6" s="15" t="s">
        <v>95</v>
      </c>
      <c r="K6" s="15" t="s">
        <v>97</v>
      </c>
      <c r="L6" s="15" t="s">
        <v>188</v>
      </c>
      <c r="M6" s="15" t="s">
        <v>189</v>
      </c>
      <c r="N6" s="15" t="s">
        <v>79</v>
      </c>
      <c r="O6" s="15" t="s">
        <v>99</v>
      </c>
    </row>
    <row r="7" ht="15.0" customHeight="1">
      <c r="A7" s="29"/>
      <c r="B7" s="35"/>
      <c r="C7" s="25"/>
      <c r="D7" s="25"/>
      <c r="E7" s="25"/>
      <c r="F7" s="25"/>
      <c r="G7" s="36"/>
      <c r="H7" s="25"/>
      <c r="I7" s="17"/>
      <c r="J7" s="17"/>
      <c r="K7" s="29"/>
      <c r="L7" s="25"/>
      <c r="M7" s="49"/>
      <c r="N7" s="25"/>
      <c r="O7" s="26"/>
    </row>
    <row r="8" ht="15.0" customHeight="1">
      <c r="A8" s="60" t="str">
        <f t="shared" ref="A8:A200" si="1">IF(D8="","","CLAIM-"&amp;TEXT(ROW()-6,"000"))</f>
        <v/>
      </c>
      <c r="B8" s="32"/>
      <c r="C8" s="33"/>
      <c r="D8" s="33"/>
      <c r="E8" s="33"/>
      <c r="F8" s="33"/>
      <c r="G8" s="34"/>
      <c r="H8" s="33"/>
      <c r="I8" s="61">
        <f t="array" ref="I8">IF($A8="",0,IF($H8&lt;&gt;"",IFERROR(INDEX('Bills &amp; Payments Due'!$I$7:$I$500,MATCH($H8,'Bills &amp; Payments Due'!$A$7:$A$500,0)),0),SUMIFS('Daily Transactions'!$F$6:$F$500,'Daily Transactions'!$K$6:$K$500,$O8,'Daily Transactions'!$C$6:$C$500,"Expense")))</f>
        <v>0</v>
      </c>
      <c r="J8" s="61" t="str">
        <f t="shared" ref="J8:J200" si="2">IF($A8="","",MAX(0,G8-I8))</f>
        <v/>
      </c>
      <c r="K8" s="60" t="str">
        <f t="shared" ref="K8:K200" si="3">IF($A8="","",IF(I8&gt;=G8,"Resolved",IF(I8&gt;0,"Partially Paid","Pending")))</f>
        <v/>
      </c>
      <c r="L8" s="33"/>
      <c r="M8" s="56" t="str">
        <f t="array" ref="M8">IF($A8="","",IF(K8="Resolved",IF($H8&lt;&gt;"",IFERROR(INDEX('Bills &amp; Payments Due'!$M$7:$M$500,MATCH($H8,'Bills &amp; Payments Due'!$A$7:$A$500,0)),""),IFERROR(MAXIFS('Daily Transactions'!$A$6:$A$500,'Daily Transactions'!$K$6:$K$500,$O8,'Daily Transactions'!$C$6:$C$500,"Expense"),"")),""))</f>
        <v/>
      </c>
      <c r="N8" s="33"/>
      <c r="O8" s="26" t="str">
        <f t="shared" ref="O8:O200" si="4">IF(D8="","",$A8&amp;" | "&amp;D8&amp;" ("&amp;C8&amp;")")</f>
        <v/>
      </c>
    </row>
    <row r="9" ht="15.0" customHeight="1">
      <c r="A9" s="29" t="str">
        <f t="shared" si="1"/>
        <v/>
      </c>
      <c r="B9" s="40"/>
      <c r="C9" s="16"/>
      <c r="D9" s="16"/>
      <c r="E9" s="16"/>
      <c r="F9" s="16"/>
      <c r="G9" s="41"/>
      <c r="H9" s="16"/>
      <c r="I9" s="17">
        <f t="array" ref="I9">IF($A9="",0,IF($H9&lt;&gt;"",IFERROR(INDEX('Bills &amp; Payments Due'!$I$7:$I$500,MATCH($H9,'Bills &amp; Payments Due'!$A$7:$A$500,0)),0),SUMIFS('Daily Transactions'!$F$6:$F$500,'Daily Transactions'!$K$6:$K$500,$O9,'Daily Transactions'!$C$6:$C$500,"Expense")))</f>
        <v>0</v>
      </c>
      <c r="J9" s="17" t="str">
        <f t="shared" si="2"/>
        <v/>
      </c>
      <c r="K9" s="29" t="str">
        <f t="shared" si="3"/>
        <v/>
      </c>
      <c r="L9" s="16"/>
      <c r="M9" s="49" t="str">
        <f t="array" ref="M9">IF($A9="","",IF(K9="Resolved",IF($H9&lt;&gt;"",IFERROR(INDEX('Bills &amp; Payments Due'!$M$7:$M$500,MATCH($H9,'Bills &amp; Payments Due'!$A$7:$A$500,0)),""),IFERROR(MAXIFS('Daily Transactions'!$A$6:$A$500,'Daily Transactions'!$K$6:$K$500,$O9,'Daily Transactions'!$C$6:$C$500,"Expense"),"")),""))</f>
        <v/>
      </c>
      <c r="N9" s="16"/>
      <c r="O9" s="26" t="str">
        <f t="shared" si="4"/>
        <v/>
      </c>
    </row>
    <row r="10" ht="15.0" customHeight="1">
      <c r="A10" s="60" t="str">
        <f t="shared" si="1"/>
        <v/>
      </c>
      <c r="B10" s="32"/>
      <c r="C10" s="33"/>
      <c r="D10" s="33"/>
      <c r="E10" s="33"/>
      <c r="F10" s="33"/>
      <c r="G10" s="34"/>
      <c r="H10" s="33"/>
      <c r="I10" s="61">
        <f t="array" ref="I10">IF($A10="",0,IF($H10&lt;&gt;"",IFERROR(INDEX('Bills &amp; Payments Due'!$I$7:$I$500,MATCH($H10,'Bills &amp; Payments Due'!$A$7:$A$500,0)),0),SUMIFS('Daily Transactions'!$F$6:$F$500,'Daily Transactions'!$K$6:$K$500,$O10,'Daily Transactions'!$C$6:$C$500,"Expense")))</f>
        <v>0</v>
      </c>
      <c r="J10" s="61" t="str">
        <f t="shared" si="2"/>
        <v/>
      </c>
      <c r="K10" s="60" t="str">
        <f t="shared" si="3"/>
        <v/>
      </c>
      <c r="L10" s="33"/>
      <c r="M10" s="56" t="str">
        <f t="array" ref="M10">IF($A10="","",IF(K10="Resolved",IF($H10&lt;&gt;"",IFERROR(INDEX('Bills &amp; Payments Due'!$M$7:$M$500,MATCH($H10,'Bills &amp; Payments Due'!$A$7:$A$500,0)),""),IFERROR(MAXIFS('Daily Transactions'!$A$6:$A$500,'Daily Transactions'!$K$6:$K$500,$O10,'Daily Transactions'!$C$6:$C$500,"Expense"),"")),""))</f>
        <v/>
      </c>
      <c r="N10" s="33"/>
      <c r="O10" s="26" t="str">
        <f t="shared" si="4"/>
        <v/>
      </c>
    </row>
    <row r="11" ht="15.0" customHeight="1">
      <c r="A11" s="29" t="str">
        <f t="shared" si="1"/>
        <v/>
      </c>
      <c r="B11" s="40"/>
      <c r="C11" s="16"/>
      <c r="D11" s="16"/>
      <c r="E11" s="16"/>
      <c r="F11" s="16"/>
      <c r="G11" s="41"/>
      <c r="H11" s="16"/>
      <c r="I11" s="17">
        <f t="array" ref="I11">IF($A11="",0,IF($H11&lt;&gt;"",IFERROR(INDEX('Bills &amp; Payments Due'!$I$7:$I$500,MATCH($H11,'Bills &amp; Payments Due'!$A$7:$A$500,0)),0),SUMIFS('Daily Transactions'!$F$6:$F$500,'Daily Transactions'!$K$6:$K$500,$O11,'Daily Transactions'!$C$6:$C$500,"Expense")))</f>
        <v>0</v>
      </c>
      <c r="J11" s="17" t="str">
        <f t="shared" si="2"/>
        <v/>
      </c>
      <c r="K11" s="29" t="str">
        <f t="shared" si="3"/>
        <v/>
      </c>
      <c r="L11" s="16"/>
      <c r="M11" s="49" t="str">
        <f t="array" ref="M11">IF($A11="","",IF(K11="Resolved",IF($H11&lt;&gt;"",IFERROR(INDEX('Bills &amp; Payments Due'!$M$7:$M$500,MATCH($H11,'Bills &amp; Payments Due'!$A$7:$A$500,0)),""),IFERROR(MAXIFS('Daily Transactions'!$A$6:$A$500,'Daily Transactions'!$K$6:$K$500,$O11,'Daily Transactions'!$C$6:$C$500,"Expense"),"")),""))</f>
        <v/>
      </c>
      <c r="N11" s="16"/>
      <c r="O11" s="26" t="str">
        <f t="shared" si="4"/>
        <v/>
      </c>
    </row>
    <row r="12" ht="15.0" customHeight="1">
      <c r="A12" s="60" t="str">
        <f t="shared" si="1"/>
        <v/>
      </c>
      <c r="B12" s="32"/>
      <c r="C12" s="33"/>
      <c r="D12" s="33"/>
      <c r="E12" s="33"/>
      <c r="F12" s="33"/>
      <c r="G12" s="34"/>
      <c r="H12" s="33"/>
      <c r="I12" s="61">
        <f t="array" ref="I12">IF($A12="",0,IF($H12&lt;&gt;"",IFERROR(INDEX('Bills &amp; Payments Due'!$I$7:$I$500,MATCH($H12,'Bills &amp; Payments Due'!$A$7:$A$500,0)),0),SUMIFS('Daily Transactions'!$F$6:$F$500,'Daily Transactions'!$K$6:$K$500,$O12,'Daily Transactions'!$C$6:$C$500,"Expense")))</f>
        <v>0</v>
      </c>
      <c r="J12" s="61" t="str">
        <f t="shared" si="2"/>
        <v/>
      </c>
      <c r="K12" s="60" t="str">
        <f t="shared" si="3"/>
        <v/>
      </c>
      <c r="L12" s="33"/>
      <c r="M12" s="56" t="str">
        <f t="array" ref="M12">IF($A12="","",IF(K12="Resolved",IF($H12&lt;&gt;"",IFERROR(INDEX('Bills &amp; Payments Due'!$M$7:$M$500,MATCH($H12,'Bills &amp; Payments Due'!$A$7:$A$500,0)),""),IFERROR(MAXIFS('Daily Transactions'!$A$6:$A$500,'Daily Transactions'!$K$6:$K$500,$O12,'Daily Transactions'!$C$6:$C$500,"Expense"),"")),""))</f>
        <v/>
      </c>
      <c r="N12" s="33"/>
      <c r="O12" s="26" t="str">
        <f t="shared" si="4"/>
        <v/>
      </c>
    </row>
    <row r="13" ht="15.0" customHeight="1">
      <c r="A13" s="29" t="str">
        <f t="shared" si="1"/>
        <v/>
      </c>
      <c r="B13" s="40"/>
      <c r="C13" s="16"/>
      <c r="D13" s="16"/>
      <c r="E13" s="16"/>
      <c r="F13" s="16"/>
      <c r="G13" s="41"/>
      <c r="H13" s="16"/>
      <c r="I13" s="17">
        <f t="array" ref="I13">IF($A13="",0,IF($H13&lt;&gt;"",IFERROR(INDEX('Bills &amp; Payments Due'!$I$7:$I$500,MATCH($H13,'Bills &amp; Payments Due'!$A$7:$A$500,0)),0),SUMIFS('Daily Transactions'!$F$6:$F$500,'Daily Transactions'!$K$6:$K$500,$O13,'Daily Transactions'!$C$6:$C$500,"Expense")))</f>
        <v>0</v>
      </c>
      <c r="J13" s="17" t="str">
        <f t="shared" si="2"/>
        <v/>
      </c>
      <c r="K13" s="29" t="str">
        <f t="shared" si="3"/>
        <v/>
      </c>
      <c r="L13" s="16"/>
      <c r="M13" s="49" t="str">
        <f t="array" ref="M13">IF($A13="","",IF(K13="Resolved",IF($H13&lt;&gt;"",IFERROR(INDEX('Bills &amp; Payments Due'!$M$7:$M$500,MATCH($H13,'Bills &amp; Payments Due'!$A$7:$A$500,0)),""),IFERROR(MAXIFS('Daily Transactions'!$A$6:$A$500,'Daily Transactions'!$K$6:$K$500,$O13,'Daily Transactions'!$C$6:$C$500,"Expense"),"")),""))</f>
        <v/>
      </c>
      <c r="N13" s="16"/>
      <c r="O13" s="26" t="str">
        <f t="shared" si="4"/>
        <v/>
      </c>
    </row>
    <row r="14" ht="15.0" customHeight="1">
      <c r="A14" s="60" t="str">
        <f t="shared" si="1"/>
        <v/>
      </c>
      <c r="B14" s="32"/>
      <c r="C14" s="33"/>
      <c r="D14" s="33"/>
      <c r="E14" s="33"/>
      <c r="F14" s="33"/>
      <c r="G14" s="34"/>
      <c r="H14" s="33"/>
      <c r="I14" s="61">
        <f t="array" ref="I14">IF($A14="",0,IF($H14&lt;&gt;"",IFERROR(INDEX('Bills &amp; Payments Due'!$I$7:$I$500,MATCH($H14,'Bills &amp; Payments Due'!$A$7:$A$500,0)),0),SUMIFS('Daily Transactions'!$F$6:$F$500,'Daily Transactions'!$K$6:$K$500,$O14,'Daily Transactions'!$C$6:$C$500,"Expense")))</f>
        <v>0</v>
      </c>
      <c r="J14" s="61" t="str">
        <f t="shared" si="2"/>
        <v/>
      </c>
      <c r="K14" s="60" t="str">
        <f t="shared" si="3"/>
        <v/>
      </c>
      <c r="L14" s="33"/>
      <c r="M14" s="56" t="str">
        <f t="array" ref="M14">IF($A14="","",IF(K14="Resolved",IF($H14&lt;&gt;"",IFERROR(INDEX('Bills &amp; Payments Due'!$M$7:$M$500,MATCH($H14,'Bills &amp; Payments Due'!$A$7:$A$500,0)),""),IFERROR(MAXIFS('Daily Transactions'!$A$6:$A$500,'Daily Transactions'!$K$6:$K$500,$O14,'Daily Transactions'!$C$6:$C$500,"Expense"),"")),""))</f>
        <v/>
      </c>
      <c r="N14" s="33"/>
      <c r="O14" s="26" t="str">
        <f t="shared" si="4"/>
        <v/>
      </c>
    </row>
    <row r="15" ht="15.0" customHeight="1">
      <c r="A15" s="29" t="str">
        <f t="shared" si="1"/>
        <v/>
      </c>
      <c r="B15" s="40"/>
      <c r="C15" s="16"/>
      <c r="D15" s="16"/>
      <c r="E15" s="16"/>
      <c r="F15" s="16"/>
      <c r="G15" s="41"/>
      <c r="H15" s="16"/>
      <c r="I15" s="17">
        <f t="array" ref="I15">IF($A15="",0,IF($H15&lt;&gt;"",IFERROR(INDEX('Bills &amp; Payments Due'!$I$7:$I$500,MATCH($H15,'Bills &amp; Payments Due'!$A$7:$A$500,0)),0),SUMIFS('Daily Transactions'!$F$6:$F$500,'Daily Transactions'!$K$6:$K$500,$O15,'Daily Transactions'!$C$6:$C$500,"Expense")))</f>
        <v>0</v>
      </c>
      <c r="J15" s="17" t="str">
        <f t="shared" si="2"/>
        <v/>
      </c>
      <c r="K15" s="29" t="str">
        <f t="shared" si="3"/>
        <v/>
      </c>
      <c r="L15" s="16"/>
      <c r="M15" s="49" t="str">
        <f t="array" ref="M15">IF($A15="","",IF(K15="Resolved",IF($H15&lt;&gt;"",IFERROR(INDEX('Bills &amp; Payments Due'!$M$7:$M$500,MATCH($H15,'Bills &amp; Payments Due'!$A$7:$A$500,0)),""),IFERROR(MAXIFS('Daily Transactions'!$A$6:$A$500,'Daily Transactions'!$K$6:$K$500,$O15,'Daily Transactions'!$C$6:$C$500,"Expense"),"")),""))</f>
        <v/>
      </c>
      <c r="N15" s="16"/>
      <c r="O15" s="26" t="str">
        <f t="shared" si="4"/>
        <v/>
      </c>
    </row>
    <row r="16" ht="15.0" customHeight="1">
      <c r="A16" s="60" t="str">
        <f t="shared" si="1"/>
        <v/>
      </c>
      <c r="B16" s="32"/>
      <c r="C16" s="33"/>
      <c r="D16" s="33"/>
      <c r="E16" s="33"/>
      <c r="F16" s="33"/>
      <c r="G16" s="34"/>
      <c r="H16" s="33"/>
      <c r="I16" s="61">
        <f t="array" ref="I16">IF($A16="",0,IF($H16&lt;&gt;"",IFERROR(INDEX('Bills &amp; Payments Due'!$I$7:$I$500,MATCH($H16,'Bills &amp; Payments Due'!$A$7:$A$500,0)),0),SUMIFS('Daily Transactions'!$F$6:$F$500,'Daily Transactions'!$K$6:$K$500,$O16,'Daily Transactions'!$C$6:$C$500,"Expense")))</f>
        <v>0</v>
      </c>
      <c r="J16" s="61" t="str">
        <f t="shared" si="2"/>
        <v/>
      </c>
      <c r="K16" s="60" t="str">
        <f t="shared" si="3"/>
        <v/>
      </c>
      <c r="L16" s="33"/>
      <c r="M16" s="56" t="str">
        <f t="array" ref="M16">IF($A16="","",IF(K16="Resolved",IF($H16&lt;&gt;"",IFERROR(INDEX('Bills &amp; Payments Due'!$M$7:$M$500,MATCH($H16,'Bills &amp; Payments Due'!$A$7:$A$500,0)),""),IFERROR(MAXIFS('Daily Transactions'!$A$6:$A$500,'Daily Transactions'!$K$6:$K$500,$O16,'Daily Transactions'!$C$6:$C$500,"Expense"),"")),""))</f>
        <v/>
      </c>
      <c r="N16" s="33"/>
      <c r="O16" s="26" t="str">
        <f t="shared" si="4"/>
        <v/>
      </c>
    </row>
    <row r="17" ht="15.0" customHeight="1">
      <c r="A17" s="29" t="str">
        <f t="shared" si="1"/>
        <v/>
      </c>
      <c r="B17" s="40"/>
      <c r="C17" s="16"/>
      <c r="D17" s="16"/>
      <c r="E17" s="16"/>
      <c r="F17" s="16"/>
      <c r="G17" s="41"/>
      <c r="H17" s="16"/>
      <c r="I17" s="17">
        <f t="array" ref="I17">IF($A17="",0,IF($H17&lt;&gt;"",IFERROR(INDEX('Bills &amp; Payments Due'!$I$7:$I$500,MATCH($H17,'Bills &amp; Payments Due'!$A$7:$A$500,0)),0),SUMIFS('Daily Transactions'!$F$6:$F$500,'Daily Transactions'!$K$6:$K$500,$O17,'Daily Transactions'!$C$6:$C$500,"Expense")))</f>
        <v>0</v>
      </c>
      <c r="J17" s="17" t="str">
        <f t="shared" si="2"/>
        <v/>
      </c>
      <c r="K17" s="29" t="str">
        <f t="shared" si="3"/>
        <v/>
      </c>
      <c r="L17" s="16"/>
      <c r="M17" s="49" t="str">
        <f t="array" ref="M17">IF($A17="","",IF(K17="Resolved",IF($H17&lt;&gt;"",IFERROR(INDEX('Bills &amp; Payments Due'!$M$7:$M$500,MATCH($H17,'Bills &amp; Payments Due'!$A$7:$A$500,0)),""),IFERROR(MAXIFS('Daily Transactions'!$A$6:$A$500,'Daily Transactions'!$K$6:$K$500,$O17,'Daily Transactions'!$C$6:$C$500,"Expense"),"")),""))</f>
        <v/>
      </c>
      <c r="N17" s="16"/>
      <c r="O17" s="26" t="str">
        <f t="shared" si="4"/>
        <v/>
      </c>
    </row>
    <row r="18" ht="15.0" customHeight="1">
      <c r="A18" s="60" t="str">
        <f t="shared" si="1"/>
        <v/>
      </c>
      <c r="B18" s="32"/>
      <c r="C18" s="33"/>
      <c r="D18" s="33"/>
      <c r="E18" s="33"/>
      <c r="F18" s="33"/>
      <c r="G18" s="34"/>
      <c r="H18" s="33"/>
      <c r="I18" s="61">
        <f t="array" ref="I18">IF($A18="",0,IF($H18&lt;&gt;"",IFERROR(INDEX('Bills &amp; Payments Due'!$I$7:$I$500,MATCH($H18,'Bills &amp; Payments Due'!$A$7:$A$500,0)),0),SUMIFS('Daily Transactions'!$F$6:$F$500,'Daily Transactions'!$K$6:$K$500,$O18,'Daily Transactions'!$C$6:$C$500,"Expense")))</f>
        <v>0</v>
      </c>
      <c r="J18" s="61" t="str">
        <f t="shared" si="2"/>
        <v/>
      </c>
      <c r="K18" s="60" t="str">
        <f t="shared" si="3"/>
        <v/>
      </c>
      <c r="L18" s="33"/>
      <c r="M18" s="56" t="str">
        <f t="array" ref="M18">IF($A18="","",IF(K18="Resolved",IF($H18&lt;&gt;"",IFERROR(INDEX('Bills &amp; Payments Due'!$M$7:$M$500,MATCH($H18,'Bills &amp; Payments Due'!$A$7:$A$500,0)),""),IFERROR(MAXIFS('Daily Transactions'!$A$6:$A$500,'Daily Transactions'!$K$6:$K$500,$O18,'Daily Transactions'!$C$6:$C$500,"Expense"),"")),""))</f>
        <v/>
      </c>
      <c r="N18" s="33"/>
      <c r="O18" s="26" t="str">
        <f t="shared" si="4"/>
        <v/>
      </c>
    </row>
    <row r="19" ht="15.0" customHeight="1">
      <c r="A19" s="29" t="str">
        <f t="shared" si="1"/>
        <v/>
      </c>
      <c r="B19" s="40"/>
      <c r="C19" s="16"/>
      <c r="D19" s="16"/>
      <c r="E19" s="16"/>
      <c r="F19" s="16"/>
      <c r="G19" s="41"/>
      <c r="H19" s="16"/>
      <c r="I19" s="17">
        <f t="array" ref="I19">IF($A19="",0,IF($H19&lt;&gt;"",IFERROR(INDEX('Bills &amp; Payments Due'!$I$7:$I$500,MATCH($H19,'Bills &amp; Payments Due'!$A$7:$A$500,0)),0),SUMIFS('Daily Transactions'!$F$6:$F$500,'Daily Transactions'!$K$6:$K$500,$O19,'Daily Transactions'!$C$6:$C$500,"Expense")))</f>
        <v>0</v>
      </c>
      <c r="J19" s="17" t="str">
        <f t="shared" si="2"/>
        <v/>
      </c>
      <c r="K19" s="29" t="str">
        <f t="shared" si="3"/>
        <v/>
      </c>
      <c r="L19" s="16"/>
      <c r="M19" s="49" t="str">
        <f t="array" ref="M19">IF($A19="","",IF(K19="Resolved",IF($H19&lt;&gt;"",IFERROR(INDEX('Bills &amp; Payments Due'!$M$7:$M$500,MATCH($H19,'Bills &amp; Payments Due'!$A$7:$A$500,0)),""),IFERROR(MAXIFS('Daily Transactions'!$A$6:$A$500,'Daily Transactions'!$K$6:$K$500,$O19,'Daily Transactions'!$C$6:$C$500,"Expense"),"")),""))</f>
        <v/>
      </c>
      <c r="N19" s="16"/>
      <c r="O19" s="26" t="str">
        <f t="shared" si="4"/>
        <v/>
      </c>
    </row>
    <row r="20" ht="15.0" customHeight="1">
      <c r="A20" s="60" t="str">
        <f t="shared" si="1"/>
        <v/>
      </c>
      <c r="B20" s="32"/>
      <c r="C20" s="33"/>
      <c r="D20" s="33"/>
      <c r="E20" s="33"/>
      <c r="F20" s="33"/>
      <c r="G20" s="34"/>
      <c r="H20" s="33"/>
      <c r="I20" s="61">
        <f t="array" ref="I20">IF($A20="",0,IF($H20&lt;&gt;"",IFERROR(INDEX('Bills &amp; Payments Due'!$I$7:$I$500,MATCH($H20,'Bills &amp; Payments Due'!$A$7:$A$500,0)),0),SUMIFS('Daily Transactions'!$F$6:$F$500,'Daily Transactions'!$K$6:$K$500,$O20,'Daily Transactions'!$C$6:$C$500,"Expense")))</f>
        <v>0</v>
      </c>
      <c r="J20" s="61" t="str">
        <f t="shared" si="2"/>
        <v/>
      </c>
      <c r="K20" s="60" t="str">
        <f t="shared" si="3"/>
        <v/>
      </c>
      <c r="L20" s="33"/>
      <c r="M20" s="56" t="str">
        <f t="array" ref="M20">IF($A20="","",IF(K20="Resolved",IF($H20&lt;&gt;"",IFERROR(INDEX('Bills &amp; Payments Due'!$M$7:$M$500,MATCH($H20,'Bills &amp; Payments Due'!$A$7:$A$500,0)),""),IFERROR(MAXIFS('Daily Transactions'!$A$6:$A$500,'Daily Transactions'!$K$6:$K$500,$O20,'Daily Transactions'!$C$6:$C$500,"Expense"),"")),""))</f>
        <v/>
      </c>
      <c r="N20" s="33"/>
      <c r="O20" s="26" t="str">
        <f t="shared" si="4"/>
        <v/>
      </c>
    </row>
    <row r="21" ht="15.0" customHeight="1">
      <c r="A21" s="29" t="str">
        <f t="shared" si="1"/>
        <v/>
      </c>
      <c r="B21" s="40"/>
      <c r="C21" s="16"/>
      <c r="D21" s="16"/>
      <c r="E21" s="16"/>
      <c r="F21" s="16"/>
      <c r="G21" s="41"/>
      <c r="H21" s="16"/>
      <c r="I21" s="17">
        <f t="array" ref="I21">IF($A21="",0,IF($H21&lt;&gt;"",IFERROR(INDEX('Bills &amp; Payments Due'!$I$7:$I$500,MATCH($H21,'Bills &amp; Payments Due'!$A$7:$A$500,0)),0),SUMIFS('Daily Transactions'!$F$6:$F$500,'Daily Transactions'!$K$6:$K$500,$O21,'Daily Transactions'!$C$6:$C$500,"Expense")))</f>
        <v>0</v>
      </c>
      <c r="J21" s="17" t="str">
        <f t="shared" si="2"/>
        <v/>
      </c>
      <c r="K21" s="29" t="str">
        <f t="shared" si="3"/>
        <v/>
      </c>
      <c r="L21" s="16"/>
      <c r="M21" s="49" t="str">
        <f t="array" ref="M21">IF($A21="","",IF(K21="Resolved",IF($H21&lt;&gt;"",IFERROR(INDEX('Bills &amp; Payments Due'!$M$7:$M$500,MATCH($H21,'Bills &amp; Payments Due'!$A$7:$A$500,0)),""),IFERROR(MAXIFS('Daily Transactions'!$A$6:$A$500,'Daily Transactions'!$K$6:$K$500,$O21,'Daily Transactions'!$C$6:$C$500,"Expense"),"")),""))</f>
        <v/>
      </c>
      <c r="N21" s="16"/>
      <c r="O21" s="26" t="str">
        <f t="shared" si="4"/>
        <v/>
      </c>
    </row>
    <row r="22" ht="15.0" customHeight="1">
      <c r="A22" s="60" t="str">
        <f t="shared" si="1"/>
        <v/>
      </c>
      <c r="B22" s="32"/>
      <c r="C22" s="33"/>
      <c r="D22" s="33"/>
      <c r="E22" s="33"/>
      <c r="F22" s="33"/>
      <c r="G22" s="34"/>
      <c r="H22" s="33"/>
      <c r="I22" s="61">
        <f t="array" ref="I22">IF($A22="",0,IF($H22&lt;&gt;"",IFERROR(INDEX('Bills &amp; Payments Due'!$I$7:$I$500,MATCH($H22,'Bills &amp; Payments Due'!$A$7:$A$500,0)),0),SUMIFS('Daily Transactions'!$F$6:$F$500,'Daily Transactions'!$K$6:$K$500,$O22,'Daily Transactions'!$C$6:$C$500,"Expense")))</f>
        <v>0</v>
      </c>
      <c r="J22" s="61" t="str">
        <f t="shared" si="2"/>
        <v/>
      </c>
      <c r="K22" s="60" t="str">
        <f t="shared" si="3"/>
        <v/>
      </c>
      <c r="L22" s="33"/>
      <c r="M22" s="56" t="str">
        <f t="array" ref="M22">IF($A22="","",IF(K22="Resolved",IF($H22&lt;&gt;"",IFERROR(INDEX('Bills &amp; Payments Due'!$M$7:$M$500,MATCH($H22,'Bills &amp; Payments Due'!$A$7:$A$500,0)),""),IFERROR(MAXIFS('Daily Transactions'!$A$6:$A$500,'Daily Transactions'!$K$6:$K$500,$O22,'Daily Transactions'!$C$6:$C$500,"Expense"),"")),""))</f>
        <v/>
      </c>
      <c r="N22" s="33"/>
      <c r="O22" s="26" t="str">
        <f t="shared" si="4"/>
        <v/>
      </c>
    </row>
    <row r="23" ht="15.0" customHeight="1">
      <c r="A23" s="29" t="str">
        <f t="shared" si="1"/>
        <v/>
      </c>
      <c r="B23" s="40"/>
      <c r="C23" s="16"/>
      <c r="D23" s="16"/>
      <c r="E23" s="16"/>
      <c r="F23" s="16"/>
      <c r="G23" s="41"/>
      <c r="H23" s="16"/>
      <c r="I23" s="17">
        <f t="array" ref="I23">IF($A23="",0,IF($H23&lt;&gt;"",IFERROR(INDEX('Bills &amp; Payments Due'!$I$7:$I$500,MATCH($H23,'Bills &amp; Payments Due'!$A$7:$A$500,0)),0),SUMIFS('Daily Transactions'!$F$6:$F$500,'Daily Transactions'!$K$6:$K$500,$O23,'Daily Transactions'!$C$6:$C$500,"Expense")))</f>
        <v>0</v>
      </c>
      <c r="J23" s="17" t="str">
        <f t="shared" si="2"/>
        <v/>
      </c>
      <c r="K23" s="29" t="str">
        <f t="shared" si="3"/>
        <v/>
      </c>
      <c r="L23" s="16"/>
      <c r="M23" s="49" t="str">
        <f t="array" ref="M23">IF($A23="","",IF(K23="Resolved",IF($H23&lt;&gt;"",IFERROR(INDEX('Bills &amp; Payments Due'!$M$7:$M$500,MATCH($H23,'Bills &amp; Payments Due'!$A$7:$A$500,0)),""),IFERROR(MAXIFS('Daily Transactions'!$A$6:$A$500,'Daily Transactions'!$K$6:$K$500,$O23,'Daily Transactions'!$C$6:$C$500,"Expense"),"")),""))</f>
        <v/>
      </c>
      <c r="N23" s="16"/>
      <c r="O23" s="26" t="str">
        <f t="shared" si="4"/>
        <v/>
      </c>
    </row>
    <row r="24" ht="15.0" customHeight="1">
      <c r="A24" s="60" t="str">
        <f t="shared" si="1"/>
        <v/>
      </c>
      <c r="B24" s="32"/>
      <c r="C24" s="33"/>
      <c r="D24" s="33"/>
      <c r="E24" s="33"/>
      <c r="F24" s="33"/>
      <c r="G24" s="34"/>
      <c r="H24" s="33"/>
      <c r="I24" s="61">
        <f t="array" ref="I24">IF($A24="",0,IF($H24&lt;&gt;"",IFERROR(INDEX('Bills &amp; Payments Due'!$I$7:$I$500,MATCH($H24,'Bills &amp; Payments Due'!$A$7:$A$500,0)),0),SUMIFS('Daily Transactions'!$F$6:$F$500,'Daily Transactions'!$K$6:$K$500,$O24,'Daily Transactions'!$C$6:$C$500,"Expense")))</f>
        <v>0</v>
      </c>
      <c r="J24" s="61" t="str">
        <f t="shared" si="2"/>
        <v/>
      </c>
      <c r="K24" s="60" t="str">
        <f t="shared" si="3"/>
        <v/>
      </c>
      <c r="L24" s="33"/>
      <c r="M24" s="56" t="str">
        <f t="array" ref="M24">IF($A24="","",IF(K24="Resolved",IF($H24&lt;&gt;"",IFERROR(INDEX('Bills &amp; Payments Due'!$M$7:$M$500,MATCH($H24,'Bills &amp; Payments Due'!$A$7:$A$500,0)),""),IFERROR(MAXIFS('Daily Transactions'!$A$6:$A$500,'Daily Transactions'!$K$6:$K$500,$O24,'Daily Transactions'!$C$6:$C$500,"Expense"),"")),""))</f>
        <v/>
      </c>
      <c r="N24" s="33"/>
      <c r="O24" s="26" t="str">
        <f t="shared" si="4"/>
        <v/>
      </c>
    </row>
    <row r="25" ht="15.0" customHeight="1">
      <c r="A25" s="29" t="str">
        <f t="shared" si="1"/>
        <v/>
      </c>
      <c r="B25" s="40"/>
      <c r="C25" s="16"/>
      <c r="D25" s="16"/>
      <c r="E25" s="16"/>
      <c r="F25" s="16"/>
      <c r="G25" s="41"/>
      <c r="H25" s="16"/>
      <c r="I25" s="17">
        <f t="array" ref="I25">IF($A25="",0,IF($H25&lt;&gt;"",IFERROR(INDEX('Bills &amp; Payments Due'!$I$7:$I$500,MATCH($H25,'Bills &amp; Payments Due'!$A$7:$A$500,0)),0),SUMIFS('Daily Transactions'!$F$6:$F$500,'Daily Transactions'!$K$6:$K$500,$O25,'Daily Transactions'!$C$6:$C$500,"Expense")))</f>
        <v>0</v>
      </c>
      <c r="J25" s="17" t="str">
        <f t="shared" si="2"/>
        <v/>
      </c>
      <c r="K25" s="29" t="str">
        <f t="shared" si="3"/>
        <v/>
      </c>
      <c r="L25" s="16"/>
      <c r="M25" s="49" t="str">
        <f t="array" ref="M25">IF($A25="","",IF(K25="Resolved",IF($H25&lt;&gt;"",IFERROR(INDEX('Bills &amp; Payments Due'!$M$7:$M$500,MATCH($H25,'Bills &amp; Payments Due'!$A$7:$A$500,0)),""),IFERROR(MAXIFS('Daily Transactions'!$A$6:$A$500,'Daily Transactions'!$K$6:$K$500,$O25,'Daily Transactions'!$C$6:$C$500,"Expense"),"")),""))</f>
        <v/>
      </c>
      <c r="N25" s="16"/>
      <c r="O25" s="26" t="str">
        <f t="shared" si="4"/>
        <v/>
      </c>
    </row>
    <row r="26" ht="15.0" customHeight="1">
      <c r="A26" s="60" t="str">
        <f t="shared" si="1"/>
        <v/>
      </c>
      <c r="B26" s="32"/>
      <c r="C26" s="33"/>
      <c r="D26" s="33"/>
      <c r="E26" s="33"/>
      <c r="F26" s="33"/>
      <c r="G26" s="34"/>
      <c r="H26" s="33"/>
      <c r="I26" s="61">
        <f t="array" ref="I26">IF($A26="",0,IF($H26&lt;&gt;"",IFERROR(INDEX('Bills &amp; Payments Due'!$I$7:$I$500,MATCH($H26,'Bills &amp; Payments Due'!$A$7:$A$500,0)),0),SUMIFS('Daily Transactions'!$F$6:$F$500,'Daily Transactions'!$K$6:$K$500,$O26,'Daily Transactions'!$C$6:$C$500,"Expense")))</f>
        <v>0</v>
      </c>
      <c r="J26" s="61" t="str">
        <f t="shared" si="2"/>
        <v/>
      </c>
      <c r="K26" s="60" t="str">
        <f t="shared" si="3"/>
        <v/>
      </c>
      <c r="L26" s="33"/>
      <c r="M26" s="56" t="str">
        <f t="array" ref="M26">IF($A26="","",IF(K26="Resolved",IF($H26&lt;&gt;"",IFERROR(INDEX('Bills &amp; Payments Due'!$M$7:$M$500,MATCH($H26,'Bills &amp; Payments Due'!$A$7:$A$500,0)),""),IFERROR(MAXIFS('Daily Transactions'!$A$6:$A$500,'Daily Transactions'!$K$6:$K$500,$O26,'Daily Transactions'!$C$6:$C$500,"Expense"),"")),""))</f>
        <v/>
      </c>
      <c r="N26" s="33"/>
      <c r="O26" s="26" t="str">
        <f t="shared" si="4"/>
        <v/>
      </c>
    </row>
    <row r="27" ht="15.0" customHeight="1">
      <c r="A27" s="29" t="str">
        <f t="shared" si="1"/>
        <v/>
      </c>
      <c r="B27" s="40"/>
      <c r="C27" s="16"/>
      <c r="D27" s="16"/>
      <c r="E27" s="16"/>
      <c r="F27" s="16"/>
      <c r="G27" s="41"/>
      <c r="H27" s="16"/>
      <c r="I27" s="17">
        <f t="array" ref="I27">IF($A27="",0,IF($H27&lt;&gt;"",IFERROR(INDEX('Bills &amp; Payments Due'!$I$7:$I$500,MATCH($H27,'Bills &amp; Payments Due'!$A$7:$A$500,0)),0),SUMIFS('Daily Transactions'!$F$6:$F$500,'Daily Transactions'!$K$6:$K$500,$O27,'Daily Transactions'!$C$6:$C$500,"Expense")))</f>
        <v>0</v>
      </c>
      <c r="J27" s="17" t="str">
        <f t="shared" si="2"/>
        <v/>
      </c>
      <c r="K27" s="29" t="str">
        <f t="shared" si="3"/>
        <v/>
      </c>
      <c r="L27" s="16"/>
      <c r="M27" s="49" t="str">
        <f t="array" ref="M27">IF($A27="","",IF(K27="Resolved",IF($H27&lt;&gt;"",IFERROR(INDEX('Bills &amp; Payments Due'!$M$7:$M$500,MATCH($H27,'Bills &amp; Payments Due'!$A$7:$A$500,0)),""),IFERROR(MAXIFS('Daily Transactions'!$A$6:$A$500,'Daily Transactions'!$K$6:$K$500,$O27,'Daily Transactions'!$C$6:$C$500,"Expense"),"")),""))</f>
        <v/>
      </c>
      <c r="N27" s="16"/>
      <c r="O27" s="26" t="str">
        <f t="shared" si="4"/>
        <v/>
      </c>
    </row>
    <row r="28" ht="15.0" customHeight="1">
      <c r="A28" s="60" t="str">
        <f t="shared" si="1"/>
        <v/>
      </c>
      <c r="B28" s="32"/>
      <c r="C28" s="33"/>
      <c r="D28" s="33"/>
      <c r="E28" s="33"/>
      <c r="F28" s="33"/>
      <c r="G28" s="34"/>
      <c r="H28" s="33"/>
      <c r="I28" s="61">
        <f t="array" ref="I28">IF($A28="",0,IF($H28&lt;&gt;"",IFERROR(INDEX('Bills &amp; Payments Due'!$I$7:$I$500,MATCH($H28,'Bills &amp; Payments Due'!$A$7:$A$500,0)),0),SUMIFS('Daily Transactions'!$F$6:$F$500,'Daily Transactions'!$K$6:$K$500,$O28,'Daily Transactions'!$C$6:$C$500,"Expense")))</f>
        <v>0</v>
      </c>
      <c r="J28" s="61" t="str">
        <f t="shared" si="2"/>
        <v/>
      </c>
      <c r="K28" s="60" t="str">
        <f t="shared" si="3"/>
        <v/>
      </c>
      <c r="L28" s="33"/>
      <c r="M28" s="56" t="str">
        <f t="array" ref="M28">IF($A28="","",IF(K28="Resolved",IF($H28&lt;&gt;"",IFERROR(INDEX('Bills &amp; Payments Due'!$M$7:$M$500,MATCH($H28,'Bills &amp; Payments Due'!$A$7:$A$500,0)),""),IFERROR(MAXIFS('Daily Transactions'!$A$6:$A$500,'Daily Transactions'!$K$6:$K$500,$O28,'Daily Transactions'!$C$6:$C$500,"Expense"),"")),""))</f>
        <v/>
      </c>
      <c r="N28" s="33"/>
      <c r="O28" s="26" t="str">
        <f t="shared" si="4"/>
        <v/>
      </c>
    </row>
    <row r="29" ht="15.0" customHeight="1">
      <c r="A29" s="29" t="str">
        <f t="shared" si="1"/>
        <v/>
      </c>
      <c r="B29" s="40"/>
      <c r="C29" s="16"/>
      <c r="D29" s="16"/>
      <c r="E29" s="16"/>
      <c r="F29" s="16"/>
      <c r="G29" s="41"/>
      <c r="H29" s="16"/>
      <c r="I29" s="17">
        <f t="array" ref="I29">IF($A29="",0,IF($H29&lt;&gt;"",IFERROR(INDEX('Bills &amp; Payments Due'!$I$7:$I$500,MATCH($H29,'Bills &amp; Payments Due'!$A$7:$A$500,0)),0),SUMIFS('Daily Transactions'!$F$6:$F$500,'Daily Transactions'!$K$6:$K$500,$O29,'Daily Transactions'!$C$6:$C$500,"Expense")))</f>
        <v>0</v>
      </c>
      <c r="J29" s="17" t="str">
        <f t="shared" si="2"/>
        <v/>
      </c>
      <c r="K29" s="29" t="str">
        <f t="shared" si="3"/>
        <v/>
      </c>
      <c r="L29" s="16"/>
      <c r="M29" s="49" t="str">
        <f t="array" ref="M29">IF($A29="","",IF(K29="Resolved",IF($H29&lt;&gt;"",IFERROR(INDEX('Bills &amp; Payments Due'!$M$7:$M$500,MATCH($H29,'Bills &amp; Payments Due'!$A$7:$A$500,0)),""),IFERROR(MAXIFS('Daily Transactions'!$A$6:$A$500,'Daily Transactions'!$K$6:$K$500,$O29,'Daily Transactions'!$C$6:$C$500,"Expense"),"")),""))</f>
        <v/>
      </c>
      <c r="N29" s="16"/>
      <c r="O29" s="26" t="str">
        <f t="shared" si="4"/>
        <v/>
      </c>
    </row>
    <row r="30" ht="15.0" customHeight="1">
      <c r="A30" s="60" t="str">
        <f t="shared" si="1"/>
        <v/>
      </c>
      <c r="B30" s="32"/>
      <c r="C30" s="33"/>
      <c r="D30" s="33"/>
      <c r="E30" s="33"/>
      <c r="F30" s="33"/>
      <c r="G30" s="34"/>
      <c r="H30" s="33"/>
      <c r="I30" s="61">
        <f t="array" ref="I30">IF($A30="",0,IF($H30&lt;&gt;"",IFERROR(INDEX('Bills &amp; Payments Due'!$I$7:$I$500,MATCH($H30,'Bills &amp; Payments Due'!$A$7:$A$500,0)),0),SUMIFS('Daily Transactions'!$F$6:$F$500,'Daily Transactions'!$K$6:$K$500,$O30,'Daily Transactions'!$C$6:$C$500,"Expense")))</f>
        <v>0</v>
      </c>
      <c r="J30" s="61" t="str">
        <f t="shared" si="2"/>
        <v/>
      </c>
      <c r="K30" s="60" t="str">
        <f t="shared" si="3"/>
        <v/>
      </c>
      <c r="L30" s="33"/>
      <c r="M30" s="56" t="str">
        <f t="array" ref="M30">IF($A30="","",IF(K30="Resolved",IF($H30&lt;&gt;"",IFERROR(INDEX('Bills &amp; Payments Due'!$M$7:$M$500,MATCH($H30,'Bills &amp; Payments Due'!$A$7:$A$500,0)),""),IFERROR(MAXIFS('Daily Transactions'!$A$6:$A$500,'Daily Transactions'!$K$6:$K$500,$O30,'Daily Transactions'!$C$6:$C$500,"Expense"),"")),""))</f>
        <v/>
      </c>
      <c r="N30" s="33"/>
      <c r="O30" s="26" t="str">
        <f t="shared" si="4"/>
        <v/>
      </c>
    </row>
    <row r="31" ht="15.0" customHeight="1">
      <c r="A31" s="29" t="str">
        <f t="shared" si="1"/>
        <v/>
      </c>
      <c r="B31" s="40"/>
      <c r="C31" s="16"/>
      <c r="D31" s="16"/>
      <c r="E31" s="16"/>
      <c r="F31" s="16"/>
      <c r="G31" s="41"/>
      <c r="H31" s="16"/>
      <c r="I31" s="17">
        <f t="array" ref="I31">IF($A31="",0,IF($H31&lt;&gt;"",IFERROR(INDEX('Bills &amp; Payments Due'!$I$7:$I$500,MATCH($H31,'Bills &amp; Payments Due'!$A$7:$A$500,0)),0),SUMIFS('Daily Transactions'!$F$6:$F$500,'Daily Transactions'!$K$6:$K$500,$O31,'Daily Transactions'!$C$6:$C$500,"Expense")))</f>
        <v>0</v>
      </c>
      <c r="J31" s="17" t="str">
        <f t="shared" si="2"/>
        <v/>
      </c>
      <c r="K31" s="29" t="str">
        <f t="shared" si="3"/>
        <v/>
      </c>
      <c r="L31" s="16"/>
      <c r="M31" s="49" t="str">
        <f t="array" ref="M31">IF($A31="","",IF(K31="Resolved",IF($H31&lt;&gt;"",IFERROR(INDEX('Bills &amp; Payments Due'!$M$7:$M$500,MATCH($H31,'Bills &amp; Payments Due'!$A$7:$A$500,0)),""),IFERROR(MAXIFS('Daily Transactions'!$A$6:$A$500,'Daily Transactions'!$K$6:$K$500,$O31,'Daily Transactions'!$C$6:$C$500,"Expense"),"")),""))</f>
        <v/>
      </c>
      <c r="N31" s="16"/>
      <c r="O31" s="26" t="str">
        <f t="shared" si="4"/>
        <v/>
      </c>
    </row>
    <row r="32" ht="15.0" customHeight="1">
      <c r="A32" s="60" t="str">
        <f t="shared" si="1"/>
        <v/>
      </c>
      <c r="B32" s="32"/>
      <c r="C32" s="33"/>
      <c r="D32" s="33"/>
      <c r="E32" s="33"/>
      <c r="F32" s="33"/>
      <c r="G32" s="34"/>
      <c r="H32" s="33"/>
      <c r="I32" s="61">
        <f t="array" ref="I32">IF($A32="",0,IF($H32&lt;&gt;"",IFERROR(INDEX('Bills &amp; Payments Due'!$I$7:$I$500,MATCH($H32,'Bills &amp; Payments Due'!$A$7:$A$500,0)),0),SUMIFS('Daily Transactions'!$F$6:$F$500,'Daily Transactions'!$K$6:$K$500,$O32,'Daily Transactions'!$C$6:$C$500,"Expense")))</f>
        <v>0</v>
      </c>
      <c r="J32" s="61" t="str">
        <f t="shared" si="2"/>
        <v/>
      </c>
      <c r="K32" s="60" t="str">
        <f t="shared" si="3"/>
        <v/>
      </c>
      <c r="L32" s="33"/>
      <c r="M32" s="56" t="str">
        <f t="array" ref="M32">IF($A32="","",IF(K32="Resolved",IF($H32&lt;&gt;"",IFERROR(INDEX('Bills &amp; Payments Due'!$M$7:$M$500,MATCH($H32,'Bills &amp; Payments Due'!$A$7:$A$500,0)),""),IFERROR(MAXIFS('Daily Transactions'!$A$6:$A$500,'Daily Transactions'!$K$6:$K$500,$O32,'Daily Transactions'!$C$6:$C$500,"Expense"),"")),""))</f>
        <v/>
      </c>
      <c r="N32" s="33"/>
      <c r="O32" s="26" t="str">
        <f t="shared" si="4"/>
        <v/>
      </c>
    </row>
    <row r="33" ht="15.0" customHeight="1">
      <c r="A33" s="29" t="str">
        <f t="shared" si="1"/>
        <v/>
      </c>
      <c r="B33" s="40"/>
      <c r="C33" s="16"/>
      <c r="D33" s="16"/>
      <c r="E33" s="16"/>
      <c r="F33" s="16"/>
      <c r="G33" s="41"/>
      <c r="H33" s="16"/>
      <c r="I33" s="17">
        <f t="array" ref="I33">IF($A33="",0,IF($H33&lt;&gt;"",IFERROR(INDEX('Bills &amp; Payments Due'!$I$7:$I$500,MATCH($H33,'Bills &amp; Payments Due'!$A$7:$A$500,0)),0),SUMIFS('Daily Transactions'!$F$6:$F$500,'Daily Transactions'!$K$6:$K$500,$O33,'Daily Transactions'!$C$6:$C$500,"Expense")))</f>
        <v>0</v>
      </c>
      <c r="J33" s="17" t="str">
        <f t="shared" si="2"/>
        <v/>
      </c>
      <c r="K33" s="29" t="str">
        <f t="shared" si="3"/>
        <v/>
      </c>
      <c r="L33" s="16"/>
      <c r="M33" s="49" t="str">
        <f t="array" ref="M33">IF($A33="","",IF(K33="Resolved",IF($H33&lt;&gt;"",IFERROR(INDEX('Bills &amp; Payments Due'!$M$7:$M$500,MATCH($H33,'Bills &amp; Payments Due'!$A$7:$A$500,0)),""),IFERROR(MAXIFS('Daily Transactions'!$A$6:$A$500,'Daily Transactions'!$K$6:$K$500,$O33,'Daily Transactions'!$C$6:$C$500,"Expense"),"")),""))</f>
        <v/>
      </c>
      <c r="N33" s="16"/>
      <c r="O33" s="26" t="str">
        <f t="shared" si="4"/>
        <v/>
      </c>
    </row>
    <row r="34" ht="15.0" customHeight="1">
      <c r="A34" s="60" t="str">
        <f t="shared" si="1"/>
        <v/>
      </c>
      <c r="B34" s="32"/>
      <c r="C34" s="33"/>
      <c r="D34" s="33"/>
      <c r="E34" s="33"/>
      <c r="F34" s="33"/>
      <c r="G34" s="34"/>
      <c r="H34" s="33"/>
      <c r="I34" s="61">
        <f t="array" ref="I34">IF($A34="",0,IF($H34&lt;&gt;"",IFERROR(INDEX('Bills &amp; Payments Due'!$I$7:$I$500,MATCH($H34,'Bills &amp; Payments Due'!$A$7:$A$500,0)),0),SUMIFS('Daily Transactions'!$F$6:$F$500,'Daily Transactions'!$K$6:$K$500,$O34,'Daily Transactions'!$C$6:$C$500,"Expense")))</f>
        <v>0</v>
      </c>
      <c r="J34" s="61" t="str">
        <f t="shared" si="2"/>
        <v/>
      </c>
      <c r="K34" s="60" t="str">
        <f t="shared" si="3"/>
        <v/>
      </c>
      <c r="L34" s="33"/>
      <c r="M34" s="56" t="str">
        <f t="array" ref="M34">IF($A34="","",IF(K34="Resolved",IF($H34&lt;&gt;"",IFERROR(INDEX('Bills &amp; Payments Due'!$M$7:$M$500,MATCH($H34,'Bills &amp; Payments Due'!$A$7:$A$500,0)),""),IFERROR(MAXIFS('Daily Transactions'!$A$6:$A$500,'Daily Transactions'!$K$6:$K$500,$O34,'Daily Transactions'!$C$6:$C$500,"Expense"),"")),""))</f>
        <v/>
      </c>
      <c r="N34" s="33"/>
      <c r="O34" s="26" t="str">
        <f t="shared" si="4"/>
        <v/>
      </c>
    </row>
    <row r="35" ht="15.0" customHeight="1">
      <c r="A35" s="29" t="str">
        <f t="shared" si="1"/>
        <v/>
      </c>
      <c r="B35" s="40"/>
      <c r="C35" s="16"/>
      <c r="D35" s="16"/>
      <c r="E35" s="16"/>
      <c r="F35" s="16"/>
      <c r="G35" s="41"/>
      <c r="H35" s="16"/>
      <c r="I35" s="17">
        <f t="array" ref="I35">IF($A35="",0,IF($H35&lt;&gt;"",IFERROR(INDEX('Bills &amp; Payments Due'!$I$7:$I$500,MATCH($H35,'Bills &amp; Payments Due'!$A$7:$A$500,0)),0),SUMIFS('Daily Transactions'!$F$6:$F$500,'Daily Transactions'!$K$6:$K$500,$O35,'Daily Transactions'!$C$6:$C$500,"Expense")))</f>
        <v>0</v>
      </c>
      <c r="J35" s="17" t="str">
        <f t="shared" si="2"/>
        <v/>
      </c>
      <c r="K35" s="29" t="str">
        <f t="shared" si="3"/>
        <v/>
      </c>
      <c r="L35" s="16"/>
      <c r="M35" s="49" t="str">
        <f t="array" ref="M35">IF($A35="","",IF(K35="Resolved",IF($H35&lt;&gt;"",IFERROR(INDEX('Bills &amp; Payments Due'!$M$7:$M$500,MATCH($H35,'Bills &amp; Payments Due'!$A$7:$A$500,0)),""),IFERROR(MAXIFS('Daily Transactions'!$A$6:$A$500,'Daily Transactions'!$K$6:$K$500,$O35,'Daily Transactions'!$C$6:$C$500,"Expense"),"")),""))</f>
        <v/>
      </c>
      <c r="N35" s="16"/>
      <c r="O35" s="26" t="str">
        <f t="shared" si="4"/>
        <v/>
      </c>
    </row>
    <row r="36" ht="15.0" customHeight="1">
      <c r="A36" s="60" t="str">
        <f t="shared" si="1"/>
        <v/>
      </c>
      <c r="B36" s="32"/>
      <c r="C36" s="33"/>
      <c r="D36" s="33"/>
      <c r="E36" s="33"/>
      <c r="F36" s="33"/>
      <c r="G36" s="34"/>
      <c r="H36" s="33"/>
      <c r="I36" s="61">
        <f t="array" ref="I36">IF($A36="",0,IF($H36&lt;&gt;"",IFERROR(INDEX('Bills &amp; Payments Due'!$I$7:$I$500,MATCH($H36,'Bills &amp; Payments Due'!$A$7:$A$500,0)),0),SUMIFS('Daily Transactions'!$F$6:$F$500,'Daily Transactions'!$K$6:$K$500,$O36,'Daily Transactions'!$C$6:$C$500,"Expense")))</f>
        <v>0</v>
      </c>
      <c r="J36" s="61" t="str">
        <f t="shared" si="2"/>
        <v/>
      </c>
      <c r="K36" s="60" t="str">
        <f t="shared" si="3"/>
        <v/>
      </c>
      <c r="L36" s="33"/>
      <c r="M36" s="56" t="str">
        <f t="array" ref="M36">IF($A36="","",IF(K36="Resolved",IF($H36&lt;&gt;"",IFERROR(INDEX('Bills &amp; Payments Due'!$M$7:$M$500,MATCH($H36,'Bills &amp; Payments Due'!$A$7:$A$500,0)),""),IFERROR(MAXIFS('Daily Transactions'!$A$6:$A$500,'Daily Transactions'!$K$6:$K$500,$O36,'Daily Transactions'!$C$6:$C$500,"Expense"),"")),""))</f>
        <v/>
      </c>
      <c r="N36" s="33"/>
      <c r="O36" s="26" t="str">
        <f t="shared" si="4"/>
        <v/>
      </c>
    </row>
    <row r="37" ht="15.0" customHeight="1">
      <c r="A37" s="29" t="str">
        <f t="shared" si="1"/>
        <v/>
      </c>
      <c r="B37" s="40"/>
      <c r="C37" s="16"/>
      <c r="D37" s="16"/>
      <c r="E37" s="16"/>
      <c r="F37" s="16"/>
      <c r="G37" s="41"/>
      <c r="H37" s="16"/>
      <c r="I37" s="17">
        <f t="array" ref="I37">IF($A37="",0,IF($H37&lt;&gt;"",IFERROR(INDEX('Bills &amp; Payments Due'!$I$7:$I$500,MATCH($H37,'Bills &amp; Payments Due'!$A$7:$A$500,0)),0),SUMIFS('Daily Transactions'!$F$6:$F$500,'Daily Transactions'!$K$6:$K$500,$O37,'Daily Transactions'!$C$6:$C$500,"Expense")))</f>
        <v>0</v>
      </c>
      <c r="J37" s="17" t="str">
        <f t="shared" si="2"/>
        <v/>
      </c>
      <c r="K37" s="29" t="str">
        <f t="shared" si="3"/>
        <v/>
      </c>
      <c r="L37" s="16"/>
      <c r="M37" s="49" t="str">
        <f t="array" ref="M37">IF($A37="","",IF(K37="Resolved",IF($H37&lt;&gt;"",IFERROR(INDEX('Bills &amp; Payments Due'!$M$7:$M$500,MATCH($H37,'Bills &amp; Payments Due'!$A$7:$A$500,0)),""),IFERROR(MAXIFS('Daily Transactions'!$A$6:$A$500,'Daily Transactions'!$K$6:$K$500,$O37,'Daily Transactions'!$C$6:$C$500,"Expense"),"")),""))</f>
        <v/>
      </c>
      <c r="N37" s="16"/>
      <c r="O37" s="26" t="str">
        <f t="shared" si="4"/>
        <v/>
      </c>
    </row>
    <row r="38" ht="15.0" customHeight="1">
      <c r="A38" s="60" t="str">
        <f t="shared" si="1"/>
        <v/>
      </c>
      <c r="B38" s="32"/>
      <c r="C38" s="33"/>
      <c r="D38" s="33"/>
      <c r="E38" s="33"/>
      <c r="F38" s="33"/>
      <c r="G38" s="34"/>
      <c r="H38" s="33"/>
      <c r="I38" s="61">
        <f t="array" ref="I38">IF($A38="",0,IF($H38&lt;&gt;"",IFERROR(INDEX('Bills &amp; Payments Due'!$I$7:$I$500,MATCH($H38,'Bills &amp; Payments Due'!$A$7:$A$500,0)),0),SUMIFS('Daily Transactions'!$F$6:$F$500,'Daily Transactions'!$K$6:$K$500,$O38,'Daily Transactions'!$C$6:$C$500,"Expense")))</f>
        <v>0</v>
      </c>
      <c r="J38" s="61" t="str">
        <f t="shared" si="2"/>
        <v/>
      </c>
      <c r="K38" s="60" t="str">
        <f t="shared" si="3"/>
        <v/>
      </c>
      <c r="L38" s="33"/>
      <c r="M38" s="56" t="str">
        <f t="array" ref="M38">IF($A38="","",IF(K38="Resolved",IF($H38&lt;&gt;"",IFERROR(INDEX('Bills &amp; Payments Due'!$M$7:$M$500,MATCH($H38,'Bills &amp; Payments Due'!$A$7:$A$500,0)),""),IFERROR(MAXIFS('Daily Transactions'!$A$6:$A$500,'Daily Transactions'!$K$6:$K$500,$O38,'Daily Transactions'!$C$6:$C$500,"Expense"),"")),""))</f>
        <v/>
      </c>
      <c r="N38" s="33"/>
      <c r="O38" s="26" t="str">
        <f t="shared" si="4"/>
        <v/>
      </c>
    </row>
    <row r="39" ht="15.0" customHeight="1">
      <c r="A39" s="29" t="str">
        <f t="shared" si="1"/>
        <v/>
      </c>
      <c r="B39" s="40"/>
      <c r="C39" s="16"/>
      <c r="D39" s="16"/>
      <c r="E39" s="16"/>
      <c r="F39" s="16"/>
      <c r="G39" s="41"/>
      <c r="H39" s="16"/>
      <c r="I39" s="17">
        <f t="array" ref="I39">IF($A39="",0,IF($H39&lt;&gt;"",IFERROR(INDEX('Bills &amp; Payments Due'!$I$7:$I$500,MATCH($H39,'Bills &amp; Payments Due'!$A$7:$A$500,0)),0),SUMIFS('Daily Transactions'!$F$6:$F$500,'Daily Transactions'!$K$6:$K$500,$O39,'Daily Transactions'!$C$6:$C$500,"Expense")))</f>
        <v>0</v>
      </c>
      <c r="J39" s="17" t="str">
        <f t="shared" si="2"/>
        <v/>
      </c>
      <c r="K39" s="29" t="str">
        <f t="shared" si="3"/>
        <v/>
      </c>
      <c r="L39" s="16"/>
      <c r="M39" s="49" t="str">
        <f t="array" ref="M39">IF($A39="","",IF(K39="Resolved",IF($H39&lt;&gt;"",IFERROR(INDEX('Bills &amp; Payments Due'!$M$7:$M$500,MATCH($H39,'Bills &amp; Payments Due'!$A$7:$A$500,0)),""),IFERROR(MAXIFS('Daily Transactions'!$A$6:$A$500,'Daily Transactions'!$K$6:$K$500,$O39,'Daily Transactions'!$C$6:$C$500,"Expense"),"")),""))</f>
        <v/>
      </c>
      <c r="N39" s="16"/>
      <c r="O39" s="26" t="str">
        <f t="shared" si="4"/>
        <v/>
      </c>
    </row>
    <row r="40" ht="15.0" customHeight="1">
      <c r="A40" s="60" t="str">
        <f t="shared" si="1"/>
        <v/>
      </c>
      <c r="B40" s="32"/>
      <c r="C40" s="33"/>
      <c r="D40" s="33"/>
      <c r="E40" s="33"/>
      <c r="F40" s="33"/>
      <c r="G40" s="34"/>
      <c r="H40" s="33"/>
      <c r="I40" s="61">
        <f t="array" ref="I40">IF($A40="",0,IF($H40&lt;&gt;"",IFERROR(INDEX('Bills &amp; Payments Due'!$I$7:$I$500,MATCH($H40,'Bills &amp; Payments Due'!$A$7:$A$500,0)),0),SUMIFS('Daily Transactions'!$F$6:$F$500,'Daily Transactions'!$K$6:$K$500,$O40,'Daily Transactions'!$C$6:$C$500,"Expense")))</f>
        <v>0</v>
      </c>
      <c r="J40" s="61" t="str">
        <f t="shared" si="2"/>
        <v/>
      </c>
      <c r="K40" s="60" t="str">
        <f t="shared" si="3"/>
        <v/>
      </c>
      <c r="L40" s="33"/>
      <c r="M40" s="56" t="str">
        <f t="array" ref="M40">IF($A40="","",IF(K40="Resolved",IF($H40&lt;&gt;"",IFERROR(INDEX('Bills &amp; Payments Due'!$M$7:$M$500,MATCH($H40,'Bills &amp; Payments Due'!$A$7:$A$500,0)),""),IFERROR(MAXIFS('Daily Transactions'!$A$6:$A$500,'Daily Transactions'!$K$6:$K$500,$O40,'Daily Transactions'!$C$6:$C$500,"Expense"),"")),""))</f>
        <v/>
      </c>
      <c r="N40" s="33"/>
      <c r="O40" s="26" t="str">
        <f t="shared" si="4"/>
        <v/>
      </c>
    </row>
    <row r="41" ht="15.0" customHeight="1">
      <c r="A41" s="29" t="str">
        <f t="shared" si="1"/>
        <v/>
      </c>
      <c r="B41" s="40"/>
      <c r="C41" s="16"/>
      <c r="D41" s="16"/>
      <c r="E41" s="16"/>
      <c r="F41" s="16"/>
      <c r="G41" s="41"/>
      <c r="H41" s="16"/>
      <c r="I41" s="17">
        <f t="array" ref="I41">IF($A41="",0,IF($H41&lt;&gt;"",IFERROR(INDEX('Bills &amp; Payments Due'!$I$7:$I$500,MATCH($H41,'Bills &amp; Payments Due'!$A$7:$A$500,0)),0),SUMIFS('Daily Transactions'!$F$6:$F$500,'Daily Transactions'!$K$6:$K$500,$O41,'Daily Transactions'!$C$6:$C$500,"Expense")))</f>
        <v>0</v>
      </c>
      <c r="J41" s="17" t="str">
        <f t="shared" si="2"/>
        <v/>
      </c>
      <c r="K41" s="29" t="str">
        <f t="shared" si="3"/>
        <v/>
      </c>
      <c r="L41" s="16"/>
      <c r="M41" s="49" t="str">
        <f t="array" ref="M41">IF($A41="","",IF(K41="Resolved",IF($H41&lt;&gt;"",IFERROR(INDEX('Bills &amp; Payments Due'!$M$7:$M$500,MATCH($H41,'Bills &amp; Payments Due'!$A$7:$A$500,0)),""),IFERROR(MAXIFS('Daily Transactions'!$A$6:$A$500,'Daily Transactions'!$K$6:$K$500,$O41,'Daily Transactions'!$C$6:$C$500,"Expense"),"")),""))</f>
        <v/>
      </c>
      <c r="N41" s="16"/>
      <c r="O41" s="26" t="str">
        <f t="shared" si="4"/>
        <v/>
      </c>
    </row>
    <row r="42" ht="15.0" customHeight="1">
      <c r="A42" s="60" t="str">
        <f t="shared" si="1"/>
        <v/>
      </c>
      <c r="B42" s="32"/>
      <c r="C42" s="33"/>
      <c r="D42" s="33"/>
      <c r="E42" s="33"/>
      <c r="F42" s="33"/>
      <c r="G42" s="34"/>
      <c r="H42" s="33"/>
      <c r="I42" s="61">
        <f t="array" ref="I42">IF($A42="",0,IF($H42&lt;&gt;"",IFERROR(INDEX('Bills &amp; Payments Due'!$I$7:$I$500,MATCH($H42,'Bills &amp; Payments Due'!$A$7:$A$500,0)),0),SUMIFS('Daily Transactions'!$F$6:$F$500,'Daily Transactions'!$K$6:$K$500,$O42,'Daily Transactions'!$C$6:$C$500,"Expense")))</f>
        <v>0</v>
      </c>
      <c r="J42" s="61" t="str">
        <f t="shared" si="2"/>
        <v/>
      </c>
      <c r="K42" s="60" t="str">
        <f t="shared" si="3"/>
        <v/>
      </c>
      <c r="L42" s="33"/>
      <c r="M42" s="56" t="str">
        <f t="array" ref="M42">IF($A42="","",IF(K42="Resolved",IF($H42&lt;&gt;"",IFERROR(INDEX('Bills &amp; Payments Due'!$M$7:$M$500,MATCH($H42,'Bills &amp; Payments Due'!$A$7:$A$500,0)),""),IFERROR(MAXIFS('Daily Transactions'!$A$6:$A$500,'Daily Transactions'!$K$6:$K$500,$O42,'Daily Transactions'!$C$6:$C$500,"Expense"),"")),""))</f>
        <v/>
      </c>
      <c r="N42" s="33"/>
      <c r="O42" s="26" t="str">
        <f t="shared" si="4"/>
        <v/>
      </c>
    </row>
    <row r="43" ht="15.0" customHeight="1">
      <c r="A43" s="29" t="str">
        <f t="shared" si="1"/>
        <v/>
      </c>
      <c r="B43" s="40"/>
      <c r="C43" s="16"/>
      <c r="D43" s="16"/>
      <c r="E43" s="16"/>
      <c r="F43" s="16"/>
      <c r="G43" s="41"/>
      <c r="H43" s="16"/>
      <c r="I43" s="17">
        <f t="array" ref="I43">IF($A43="",0,IF($H43&lt;&gt;"",IFERROR(INDEX('Bills &amp; Payments Due'!$I$7:$I$500,MATCH($H43,'Bills &amp; Payments Due'!$A$7:$A$500,0)),0),SUMIFS('Daily Transactions'!$F$6:$F$500,'Daily Transactions'!$K$6:$K$500,$O43,'Daily Transactions'!$C$6:$C$500,"Expense")))</f>
        <v>0</v>
      </c>
      <c r="J43" s="17" t="str">
        <f t="shared" si="2"/>
        <v/>
      </c>
      <c r="K43" s="29" t="str">
        <f t="shared" si="3"/>
        <v/>
      </c>
      <c r="L43" s="16"/>
      <c r="M43" s="49" t="str">
        <f t="array" ref="M43">IF($A43="","",IF(K43="Resolved",IF($H43&lt;&gt;"",IFERROR(INDEX('Bills &amp; Payments Due'!$M$7:$M$500,MATCH($H43,'Bills &amp; Payments Due'!$A$7:$A$500,0)),""),IFERROR(MAXIFS('Daily Transactions'!$A$6:$A$500,'Daily Transactions'!$K$6:$K$500,$O43,'Daily Transactions'!$C$6:$C$500,"Expense"),"")),""))</f>
        <v/>
      </c>
      <c r="N43" s="16"/>
      <c r="O43" s="26" t="str">
        <f t="shared" si="4"/>
        <v/>
      </c>
    </row>
    <row r="44" ht="15.0" customHeight="1">
      <c r="A44" s="60" t="str">
        <f t="shared" si="1"/>
        <v/>
      </c>
      <c r="B44" s="32"/>
      <c r="C44" s="33"/>
      <c r="D44" s="33"/>
      <c r="E44" s="33"/>
      <c r="F44" s="33"/>
      <c r="G44" s="34"/>
      <c r="H44" s="33"/>
      <c r="I44" s="61">
        <f t="array" ref="I44">IF($A44="",0,IF($H44&lt;&gt;"",IFERROR(INDEX('Bills &amp; Payments Due'!$I$7:$I$500,MATCH($H44,'Bills &amp; Payments Due'!$A$7:$A$500,0)),0),SUMIFS('Daily Transactions'!$F$6:$F$500,'Daily Transactions'!$K$6:$K$500,$O44,'Daily Transactions'!$C$6:$C$500,"Expense")))</f>
        <v>0</v>
      </c>
      <c r="J44" s="61" t="str">
        <f t="shared" si="2"/>
        <v/>
      </c>
      <c r="K44" s="60" t="str">
        <f t="shared" si="3"/>
        <v/>
      </c>
      <c r="L44" s="33"/>
      <c r="M44" s="56" t="str">
        <f t="array" ref="M44">IF($A44="","",IF(K44="Resolved",IF($H44&lt;&gt;"",IFERROR(INDEX('Bills &amp; Payments Due'!$M$7:$M$500,MATCH($H44,'Bills &amp; Payments Due'!$A$7:$A$500,0)),""),IFERROR(MAXIFS('Daily Transactions'!$A$6:$A$500,'Daily Transactions'!$K$6:$K$500,$O44,'Daily Transactions'!$C$6:$C$500,"Expense"),"")),""))</f>
        <v/>
      </c>
      <c r="N44" s="33"/>
      <c r="O44" s="26" t="str">
        <f t="shared" si="4"/>
        <v/>
      </c>
    </row>
    <row r="45" ht="15.0" customHeight="1">
      <c r="A45" s="29" t="str">
        <f t="shared" si="1"/>
        <v/>
      </c>
      <c r="B45" s="40"/>
      <c r="C45" s="16"/>
      <c r="D45" s="16"/>
      <c r="E45" s="16"/>
      <c r="F45" s="16"/>
      <c r="G45" s="41"/>
      <c r="H45" s="16"/>
      <c r="I45" s="17">
        <f t="array" ref="I45">IF($A45="",0,IF($H45&lt;&gt;"",IFERROR(INDEX('Bills &amp; Payments Due'!$I$7:$I$500,MATCH($H45,'Bills &amp; Payments Due'!$A$7:$A$500,0)),0),SUMIFS('Daily Transactions'!$F$6:$F$500,'Daily Transactions'!$K$6:$K$500,$O45,'Daily Transactions'!$C$6:$C$500,"Expense")))</f>
        <v>0</v>
      </c>
      <c r="J45" s="17" t="str">
        <f t="shared" si="2"/>
        <v/>
      </c>
      <c r="K45" s="29" t="str">
        <f t="shared" si="3"/>
        <v/>
      </c>
      <c r="L45" s="16"/>
      <c r="M45" s="49" t="str">
        <f t="array" ref="M45">IF($A45="","",IF(K45="Resolved",IF($H45&lt;&gt;"",IFERROR(INDEX('Bills &amp; Payments Due'!$M$7:$M$500,MATCH($H45,'Bills &amp; Payments Due'!$A$7:$A$500,0)),""),IFERROR(MAXIFS('Daily Transactions'!$A$6:$A$500,'Daily Transactions'!$K$6:$K$500,$O45,'Daily Transactions'!$C$6:$C$500,"Expense"),"")),""))</f>
        <v/>
      </c>
      <c r="N45" s="16"/>
      <c r="O45" s="26" t="str">
        <f t="shared" si="4"/>
        <v/>
      </c>
    </row>
    <row r="46" ht="15.0" customHeight="1">
      <c r="A46" s="60" t="str">
        <f t="shared" si="1"/>
        <v/>
      </c>
      <c r="B46" s="32"/>
      <c r="C46" s="33"/>
      <c r="D46" s="33"/>
      <c r="E46" s="33"/>
      <c r="F46" s="33"/>
      <c r="G46" s="34"/>
      <c r="H46" s="33"/>
      <c r="I46" s="61">
        <f t="array" ref="I46">IF($A46="",0,IF($H46&lt;&gt;"",IFERROR(INDEX('Bills &amp; Payments Due'!$I$7:$I$500,MATCH($H46,'Bills &amp; Payments Due'!$A$7:$A$500,0)),0),SUMIFS('Daily Transactions'!$F$6:$F$500,'Daily Transactions'!$K$6:$K$500,$O46,'Daily Transactions'!$C$6:$C$500,"Expense")))</f>
        <v>0</v>
      </c>
      <c r="J46" s="61" t="str">
        <f t="shared" si="2"/>
        <v/>
      </c>
      <c r="K46" s="60" t="str">
        <f t="shared" si="3"/>
        <v/>
      </c>
      <c r="L46" s="33"/>
      <c r="M46" s="56" t="str">
        <f t="array" ref="M46">IF($A46="","",IF(K46="Resolved",IF($H46&lt;&gt;"",IFERROR(INDEX('Bills &amp; Payments Due'!$M$7:$M$500,MATCH($H46,'Bills &amp; Payments Due'!$A$7:$A$500,0)),""),IFERROR(MAXIFS('Daily Transactions'!$A$6:$A$500,'Daily Transactions'!$K$6:$K$500,$O46,'Daily Transactions'!$C$6:$C$500,"Expense"),"")),""))</f>
        <v/>
      </c>
      <c r="N46" s="33"/>
      <c r="O46" s="26" t="str">
        <f t="shared" si="4"/>
        <v/>
      </c>
    </row>
    <row r="47" ht="15.0" customHeight="1">
      <c r="A47" s="29" t="str">
        <f t="shared" si="1"/>
        <v/>
      </c>
      <c r="B47" s="40"/>
      <c r="C47" s="16"/>
      <c r="D47" s="16"/>
      <c r="E47" s="16"/>
      <c r="F47" s="16"/>
      <c r="G47" s="41"/>
      <c r="H47" s="16"/>
      <c r="I47" s="17">
        <f t="array" ref="I47">IF($A47="",0,IF($H47&lt;&gt;"",IFERROR(INDEX('Bills &amp; Payments Due'!$I$7:$I$500,MATCH($H47,'Bills &amp; Payments Due'!$A$7:$A$500,0)),0),SUMIFS('Daily Transactions'!$F$6:$F$500,'Daily Transactions'!$K$6:$K$500,$O47,'Daily Transactions'!$C$6:$C$500,"Expense")))</f>
        <v>0</v>
      </c>
      <c r="J47" s="17" t="str">
        <f t="shared" si="2"/>
        <v/>
      </c>
      <c r="K47" s="29" t="str">
        <f t="shared" si="3"/>
        <v/>
      </c>
      <c r="L47" s="16"/>
      <c r="M47" s="49" t="str">
        <f t="array" ref="M47">IF($A47="","",IF(K47="Resolved",IF($H47&lt;&gt;"",IFERROR(INDEX('Bills &amp; Payments Due'!$M$7:$M$500,MATCH($H47,'Bills &amp; Payments Due'!$A$7:$A$500,0)),""),IFERROR(MAXIFS('Daily Transactions'!$A$6:$A$500,'Daily Transactions'!$K$6:$K$500,$O47,'Daily Transactions'!$C$6:$C$500,"Expense"),"")),""))</f>
        <v/>
      </c>
      <c r="N47" s="16"/>
      <c r="O47" s="26" t="str">
        <f t="shared" si="4"/>
        <v/>
      </c>
    </row>
    <row r="48" ht="15.0" customHeight="1">
      <c r="A48" s="60" t="str">
        <f t="shared" si="1"/>
        <v/>
      </c>
      <c r="B48" s="32"/>
      <c r="C48" s="33"/>
      <c r="D48" s="33"/>
      <c r="E48" s="33"/>
      <c r="F48" s="33"/>
      <c r="G48" s="34"/>
      <c r="H48" s="33"/>
      <c r="I48" s="61">
        <f t="array" ref="I48">IF($A48="",0,IF($H48&lt;&gt;"",IFERROR(INDEX('Bills &amp; Payments Due'!$I$7:$I$500,MATCH($H48,'Bills &amp; Payments Due'!$A$7:$A$500,0)),0),SUMIFS('Daily Transactions'!$F$6:$F$500,'Daily Transactions'!$K$6:$K$500,$O48,'Daily Transactions'!$C$6:$C$500,"Expense")))</f>
        <v>0</v>
      </c>
      <c r="J48" s="61" t="str">
        <f t="shared" si="2"/>
        <v/>
      </c>
      <c r="K48" s="60" t="str">
        <f t="shared" si="3"/>
        <v/>
      </c>
      <c r="L48" s="33"/>
      <c r="M48" s="56" t="str">
        <f t="array" ref="M48">IF($A48="","",IF(K48="Resolved",IF($H48&lt;&gt;"",IFERROR(INDEX('Bills &amp; Payments Due'!$M$7:$M$500,MATCH($H48,'Bills &amp; Payments Due'!$A$7:$A$500,0)),""),IFERROR(MAXIFS('Daily Transactions'!$A$6:$A$500,'Daily Transactions'!$K$6:$K$500,$O48,'Daily Transactions'!$C$6:$C$500,"Expense"),"")),""))</f>
        <v/>
      </c>
      <c r="N48" s="33"/>
      <c r="O48" s="26" t="str">
        <f t="shared" si="4"/>
        <v/>
      </c>
    </row>
    <row r="49" ht="15.0" customHeight="1">
      <c r="A49" s="29" t="str">
        <f t="shared" si="1"/>
        <v/>
      </c>
      <c r="B49" s="40"/>
      <c r="C49" s="16"/>
      <c r="D49" s="16"/>
      <c r="E49" s="16"/>
      <c r="F49" s="16"/>
      <c r="G49" s="41"/>
      <c r="H49" s="16"/>
      <c r="I49" s="17">
        <f t="array" ref="I49">IF($A49="",0,IF($H49&lt;&gt;"",IFERROR(INDEX('Bills &amp; Payments Due'!$I$7:$I$500,MATCH($H49,'Bills &amp; Payments Due'!$A$7:$A$500,0)),0),SUMIFS('Daily Transactions'!$F$6:$F$500,'Daily Transactions'!$K$6:$K$500,$O49,'Daily Transactions'!$C$6:$C$500,"Expense")))</f>
        <v>0</v>
      </c>
      <c r="J49" s="17" t="str">
        <f t="shared" si="2"/>
        <v/>
      </c>
      <c r="K49" s="29" t="str">
        <f t="shared" si="3"/>
        <v/>
      </c>
      <c r="L49" s="16"/>
      <c r="M49" s="49" t="str">
        <f t="array" ref="M49">IF($A49="","",IF(K49="Resolved",IF($H49&lt;&gt;"",IFERROR(INDEX('Bills &amp; Payments Due'!$M$7:$M$500,MATCH($H49,'Bills &amp; Payments Due'!$A$7:$A$500,0)),""),IFERROR(MAXIFS('Daily Transactions'!$A$6:$A$500,'Daily Transactions'!$K$6:$K$500,$O49,'Daily Transactions'!$C$6:$C$500,"Expense"),"")),""))</f>
        <v/>
      </c>
      <c r="N49" s="16"/>
      <c r="O49" s="26" t="str">
        <f t="shared" si="4"/>
        <v/>
      </c>
    </row>
    <row r="50" ht="15.0" customHeight="1">
      <c r="A50" s="60" t="str">
        <f t="shared" si="1"/>
        <v/>
      </c>
      <c r="B50" s="32"/>
      <c r="C50" s="33"/>
      <c r="D50" s="33"/>
      <c r="E50" s="33"/>
      <c r="F50" s="33"/>
      <c r="G50" s="34"/>
      <c r="H50" s="33"/>
      <c r="I50" s="61">
        <f t="array" ref="I50">IF($A50="",0,IF($H50&lt;&gt;"",IFERROR(INDEX('Bills &amp; Payments Due'!$I$7:$I$500,MATCH($H50,'Bills &amp; Payments Due'!$A$7:$A$500,0)),0),SUMIFS('Daily Transactions'!$F$6:$F$500,'Daily Transactions'!$K$6:$K$500,$O50,'Daily Transactions'!$C$6:$C$500,"Expense")))</f>
        <v>0</v>
      </c>
      <c r="J50" s="61" t="str">
        <f t="shared" si="2"/>
        <v/>
      </c>
      <c r="K50" s="60" t="str">
        <f t="shared" si="3"/>
        <v/>
      </c>
      <c r="L50" s="33"/>
      <c r="M50" s="56" t="str">
        <f t="array" ref="M50">IF($A50="","",IF(K50="Resolved",IF($H50&lt;&gt;"",IFERROR(INDEX('Bills &amp; Payments Due'!$M$7:$M$500,MATCH($H50,'Bills &amp; Payments Due'!$A$7:$A$500,0)),""),IFERROR(MAXIFS('Daily Transactions'!$A$6:$A$500,'Daily Transactions'!$K$6:$K$500,$O50,'Daily Transactions'!$C$6:$C$500,"Expense"),"")),""))</f>
        <v/>
      </c>
      <c r="N50" s="33"/>
      <c r="O50" s="26" t="str">
        <f t="shared" si="4"/>
        <v/>
      </c>
    </row>
    <row r="51" ht="15.0" customHeight="1">
      <c r="A51" s="29" t="str">
        <f t="shared" si="1"/>
        <v/>
      </c>
      <c r="B51" s="40"/>
      <c r="C51" s="16"/>
      <c r="D51" s="16"/>
      <c r="E51" s="16"/>
      <c r="F51" s="16"/>
      <c r="G51" s="41"/>
      <c r="H51" s="16"/>
      <c r="I51" s="17">
        <f t="array" ref="I51">IF($A51="",0,IF($H51&lt;&gt;"",IFERROR(INDEX('Bills &amp; Payments Due'!$I$7:$I$500,MATCH($H51,'Bills &amp; Payments Due'!$A$7:$A$500,0)),0),SUMIFS('Daily Transactions'!$F$6:$F$500,'Daily Transactions'!$K$6:$K$500,$O51,'Daily Transactions'!$C$6:$C$500,"Expense")))</f>
        <v>0</v>
      </c>
      <c r="J51" s="17" t="str">
        <f t="shared" si="2"/>
        <v/>
      </c>
      <c r="K51" s="29" t="str">
        <f t="shared" si="3"/>
        <v/>
      </c>
      <c r="L51" s="16"/>
      <c r="M51" s="49" t="str">
        <f t="array" ref="M51">IF($A51="","",IF(K51="Resolved",IF($H51&lt;&gt;"",IFERROR(INDEX('Bills &amp; Payments Due'!$M$7:$M$500,MATCH($H51,'Bills &amp; Payments Due'!$A$7:$A$500,0)),""),IFERROR(MAXIFS('Daily Transactions'!$A$6:$A$500,'Daily Transactions'!$K$6:$K$500,$O51,'Daily Transactions'!$C$6:$C$500,"Expense"),"")),""))</f>
        <v/>
      </c>
      <c r="N51" s="16"/>
      <c r="O51" s="26" t="str">
        <f t="shared" si="4"/>
        <v/>
      </c>
    </row>
    <row r="52" ht="15.0" customHeight="1">
      <c r="A52" s="60" t="str">
        <f t="shared" si="1"/>
        <v/>
      </c>
      <c r="B52" s="32"/>
      <c r="C52" s="33"/>
      <c r="D52" s="33"/>
      <c r="E52" s="33"/>
      <c r="F52" s="33"/>
      <c r="G52" s="34"/>
      <c r="H52" s="33"/>
      <c r="I52" s="61">
        <f t="array" ref="I52">IF($A52="",0,IF($H52&lt;&gt;"",IFERROR(INDEX('Bills &amp; Payments Due'!$I$7:$I$500,MATCH($H52,'Bills &amp; Payments Due'!$A$7:$A$500,0)),0),SUMIFS('Daily Transactions'!$F$6:$F$500,'Daily Transactions'!$K$6:$K$500,$O52,'Daily Transactions'!$C$6:$C$500,"Expense")))</f>
        <v>0</v>
      </c>
      <c r="J52" s="61" t="str">
        <f t="shared" si="2"/>
        <v/>
      </c>
      <c r="K52" s="60" t="str">
        <f t="shared" si="3"/>
        <v/>
      </c>
      <c r="L52" s="33"/>
      <c r="M52" s="56" t="str">
        <f t="array" ref="M52">IF($A52="","",IF(K52="Resolved",IF($H52&lt;&gt;"",IFERROR(INDEX('Bills &amp; Payments Due'!$M$7:$M$500,MATCH($H52,'Bills &amp; Payments Due'!$A$7:$A$500,0)),""),IFERROR(MAXIFS('Daily Transactions'!$A$6:$A$500,'Daily Transactions'!$K$6:$K$500,$O52,'Daily Transactions'!$C$6:$C$500,"Expense"),"")),""))</f>
        <v/>
      </c>
      <c r="N52" s="33"/>
      <c r="O52" s="26" t="str">
        <f t="shared" si="4"/>
        <v/>
      </c>
    </row>
    <row r="53" ht="15.0" customHeight="1">
      <c r="A53" s="29" t="str">
        <f t="shared" si="1"/>
        <v/>
      </c>
      <c r="B53" s="40"/>
      <c r="C53" s="16"/>
      <c r="D53" s="16"/>
      <c r="E53" s="16"/>
      <c r="F53" s="16"/>
      <c r="G53" s="41"/>
      <c r="H53" s="16"/>
      <c r="I53" s="17">
        <f t="array" ref="I53">IF($A53="",0,IF($H53&lt;&gt;"",IFERROR(INDEX('Bills &amp; Payments Due'!$I$7:$I$500,MATCH($H53,'Bills &amp; Payments Due'!$A$7:$A$500,0)),0),SUMIFS('Daily Transactions'!$F$6:$F$500,'Daily Transactions'!$K$6:$K$500,$O53,'Daily Transactions'!$C$6:$C$500,"Expense")))</f>
        <v>0</v>
      </c>
      <c r="J53" s="17" t="str">
        <f t="shared" si="2"/>
        <v/>
      </c>
      <c r="K53" s="29" t="str">
        <f t="shared" si="3"/>
        <v/>
      </c>
      <c r="L53" s="16"/>
      <c r="M53" s="49" t="str">
        <f t="array" ref="M53">IF($A53="","",IF(K53="Resolved",IF($H53&lt;&gt;"",IFERROR(INDEX('Bills &amp; Payments Due'!$M$7:$M$500,MATCH($H53,'Bills &amp; Payments Due'!$A$7:$A$500,0)),""),IFERROR(MAXIFS('Daily Transactions'!$A$6:$A$500,'Daily Transactions'!$K$6:$K$500,$O53,'Daily Transactions'!$C$6:$C$500,"Expense"),"")),""))</f>
        <v/>
      </c>
      <c r="N53" s="16"/>
      <c r="O53" s="26" t="str">
        <f t="shared" si="4"/>
        <v/>
      </c>
    </row>
    <row r="54" ht="15.0" customHeight="1">
      <c r="A54" s="60" t="str">
        <f t="shared" si="1"/>
        <v/>
      </c>
      <c r="B54" s="32"/>
      <c r="C54" s="33"/>
      <c r="D54" s="33"/>
      <c r="E54" s="33"/>
      <c r="F54" s="33"/>
      <c r="G54" s="34"/>
      <c r="H54" s="33"/>
      <c r="I54" s="61">
        <f t="array" ref="I54">IF($A54="",0,IF($H54&lt;&gt;"",IFERROR(INDEX('Bills &amp; Payments Due'!$I$7:$I$500,MATCH($H54,'Bills &amp; Payments Due'!$A$7:$A$500,0)),0),SUMIFS('Daily Transactions'!$F$6:$F$500,'Daily Transactions'!$K$6:$K$500,$O54,'Daily Transactions'!$C$6:$C$500,"Expense")))</f>
        <v>0</v>
      </c>
      <c r="J54" s="61" t="str">
        <f t="shared" si="2"/>
        <v/>
      </c>
      <c r="K54" s="60" t="str">
        <f t="shared" si="3"/>
        <v/>
      </c>
      <c r="L54" s="33"/>
      <c r="M54" s="56" t="str">
        <f t="array" ref="M54">IF($A54="","",IF(K54="Resolved",IF($H54&lt;&gt;"",IFERROR(INDEX('Bills &amp; Payments Due'!$M$7:$M$500,MATCH($H54,'Bills &amp; Payments Due'!$A$7:$A$500,0)),""),IFERROR(MAXIFS('Daily Transactions'!$A$6:$A$500,'Daily Transactions'!$K$6:$K$500,$O54,'Daily Transactions'!$C$6:$C$500,"Expense"),"")),""))</f>
        <v/>
      </c>
      <c r="N54" s="33"/>
      <c r="O54" s="26" t="str">
        <f t="shared" si="4"/>
        <v/>
      </c>
    </row>
    <row r="55" ht="15.0" customHeight="1">
      <c r="A55" s="29" t="str">
        <f t="shared" si="1"/>
        <v/>
      </c>
      <c r="B55" s="40"/>
      <c r="C55" s="16"/>
      <c r="D55" s="16"/>
      <c r="E55" s="16"/>
      <c r="F55" s="16"/>
      <c r="G55" s="41"/>
      <c r="H55" s="16"/>
      <c r="I55" s="17">
        <f t="array" ref="I55">IF($A55="",0,IF($H55&lt;&gt;"",IFERROR(INDEX('Bills &amp; Payments Due'!$I$7:$I$500,MATCH($H55,'Bills &amp; Payments Due'!$A$7:$A$500,0)),0),SUMIFS('Daily Transactions'!$F$6:$F$500,'Daily Transactions'!$K$6:$K$500,$O55,'Daily Transactions'!$C$6:$C$500,"Expense")))</f>
        <v>0</v>
      </c>
      <c r="J55" s="17" t="str">
        <f t="shared" si="2"/>
        <v/>
      </c>
      <c r="K55" s="29" t="str">
        <f t="shared" si="3"/>
        <v/>
      </c>
      <c r="L55" s="16"/>
      <c r="M55" s="49" t="str">
        <f t="array" ref="M55">IF($A55="","",IF(K55="Resolved",IF($H55&lt;&gt;"",IFERROR(INDEX('Bills &amp; Payments Due'!$M$7:$M$500,MATCH($H55,'Bills &amp; Payments Due'!$A$7:$A$500,0)),""),IFERROR(MAXIFS('Daily Transactions'!$A$6:$A$500,'Daily Transactions'!$K$6:$K$500,$O55,'Daily Transactions'!$C$6:$C$500,"Expense"),"")),""))</f>
        <v/>
      </c>
      <c r="N55" s="16"/>
      <c r="O55" s="26" t="str">
        <f t="shared" si="4"/>
        <v/>
      </c>
    </row>
    <row r="56" ht="15.0" customHeight="1">
      <c r="A56" s="60" t="str">
        <f t="shared" si="1"/>
        <v/>
      </c>
      <c r="B56" s="32"/>
      <c r="C56" s="33"/>
      <c r="D56" s="33"/>
      <c r="E56" s="33"/>
      <c r="F56" s="33"/>
      <c r="G56" s="34"/>
      <c r="H56" s="33"/>
      <c r="I56" s="61">
        <f t="array" ref="I56">IF($A56="",0,IF($H56&lt;&gt;"",IFERROR(INDEX('Bills &amp; Payments Due'!$I$7:$I$500,MATCH($H56,'Bills &amp; Payments Due'!$A$7:$A$500,0)),0),SUMIFS('Daily Transactions'!$F$6:$F$500,'Daily Transactions'!$K$6:$K$500,$O56,'Daily Transactions'!$C$6:$C$500,"Expense")))</f>
        <v>0</v>
      </c>
      <c r="J56" s="61" t="str">
        <f t="shared" si="2"/>
        <v/>
      </c>
      <c r="K56" s="60" t="str">
        <f t="shared" si="3"/>
        <v/>
      </c>
      <c r="L56" s="33"/>
      <c r="M56" s="56" t="str">
        <f t="array" ref="M56">IF($A56="","",IF(K56="Resolved",IF($H56&lt;&gt;"",IFERROR(INDEX('Bills &amp; Payments Due'!$M$7:$M$500,MATCH($H56,'Bills &amp; Payments Due'!$A$7:$A$500,0)),""),IFERROR(MAXIFS('Daily Transactions'!$A$6:$A$500,'Daily Transactions'!$K$6:$K$500,$O56,'Daily Transactions'!$C$6:$C$500,"Expense"),"")),""))</f>
        <v/>
      </c>
      <c r="N56" s="33"/>
      <c r="O56" s="26" t="str">
        <f t="shared" si="4"/>
        <v/>
      </c>
    </row>
    <row r="57" ht="15.0" customHeight="1">
      <c r="A57" s="29" t="str">
        <f t="shared" si="1"/>
        <v/>
      </c>
      <c r="B57" s="40"/>
      <c r="C57" s="16"/>
      <c r="D57" s="16"/>
      <c r="E57" s="16"/>
      <c r="F57" s="16"/>
      <c r="G57" s="41"/>
      <c r="H57" s="16"/>
      <c r="I57" s="17">
        <f t="array" ref="I57">IF($A57="",0,IF($H57&lt;&gt;"",IFERROR(INDEX('Bills &amp; Payments Due'!$I$7:$I$500,MATCH($H57,'Bills &amp; Payments Due'!$A$7:$A$500,0)),0),SUMIFS('Daily Transactions'!$F$6:$F$500,'Daily Transactions'!$K$6:$K$500,$O57,'Daily Transactions'!$C$6:$C$500,"Expense")))</f>
        <v>0</v>
      </c>
      <c r="J57" s="17" t="str">
        <f t="shared" si="2"/>
        <v/>
      </c>
      <c r="K57" s="29" t="str">
        <f t="shared" si="3"/>
        <v/>
      </c>
      <c r="L57" s="16"/>
      <c r="M57" s="49" t="str">
        <f t="array" ref="M57">IF($A57="","",IF(K57="Resolved",IF($H57&lt;&gt;"",IFERROR(INDEX('Bills &amp; Payments Due'!$M$7:$M$500,MATCH($H57,'Bills &amp; Payments Due'!$A$7:$A$500,0)),""),IFERROR(MAXIFS('Daily Transactions'!$A$6:$A$500,'Daily Transactions'!$K$6:$K$500,$O57,'Daily Transactions'!$C$6:$C$500,"Expense"),"")),""))</f>
        <v/>
      </c>
      <c r="N57" s="16"/>
      <c r="O57" s="26" t="str">
        <f t="shared" si="4"/>
        <v/>
      </c>
    </row>
    <row r="58" ht="15.0" customHeight="1">
      <c r="A58" s="60" t="str">
        <f t="shared" si="1"/>
        <v/>
      </c>
      <c r="B58" s="32"/>
      <c r="C58" s="33"/>
      <c r="D58" s="33"/>
      <c r="E58" s="33"/>
      <c r="F58" s="33"/>
      <c r="G58" s="34"/>
      <c r="H58" s="33"/>
      <c r="I58" s="61">
        <f t="array" ref="I58">IF($A58="",0,IF($H58&lt;&gt;"",IFERROR(INDEX('Bills &amp; Payments Due'!$I$7:$I$500,MATCH($H58,'Bills &amp; Payments Due'!$A$7:$A$500,0)),0),SUMIFS('Daily Transactions'!$F$6:$F$500,'Daily Transactions'!$K$6:$K$500,$O58,'Daily Transactions'!$C$6:$C$500,"Expense")))</f>
        <v>0</v>
      </c>
      <c r="J58" s="61" t="str">
        <f t="shared" si="2"/>
        <v/>
      </c>
      <c r="K58" s="60" t="str">
        <f t="shared" si="3"/>
        <v/>
      </c>
      <c r="L58" s="33"/>
      <c r="M58" s="56" t="str">
        <f t="array" ref="M58">IF($A58="","",IF(K58="Resolved",IF($H58&lt;&gt;"",IFERROR(INDEX('Bills &amp; Payments Due'!$M$7:$M$500,MATCH($H58,'Bills &amp; Payments Due'!$A$7:$A$500,0)),""),IFERROR(MAXIFS('Daily Transactions'!$A$6:$A$500,'Daily Transactions'!$K$6:$K$500,$O58,'Daily Transactions'!$C$6:$C$500,"Expense"),"")),""))</f>
        <v/>
      </c>
      <c r="N58" s="33"/>
      <c r="O58" s="26" t="str">
        <f t="shared" si="4"/>
        <v/>
      </c>
    </row>
    <row r="59" ht="15.0" customHeight="1">
      <c r="A59" s="29" t="str">
        <f t="shared" si="1"/>
        <v/>
      </c>
      <c r="B59" s="40"/>
      <c r="C59" s="16"/>
      <c r="D59" s="16"/>
      <c r="E59" s="16"/>
      <c r="F59" s="16"/>
      <c r="G59" s="41"/>
      <c r="H59" s="16"/>
      <c r="I59" s="17">
        <f t="array" ref="I59">IF($A59="",0,IF($H59&lt;&gt;"",IFERROR(INDEX('Bills &amp; Payments Due'!$I$7:$I$500,MATCH($H59,'Bills &amp; Payments Due'!$A$7:$A$500,0)),0),SUMIFS('Daily Transactions'!$F$6:$F$500,'Daily Transactions'!$K$6:$K$500,$O59,'Daily Transactions'!$C$6:$C$500,"Expense")))</f>
        <v>0</v>
      </c>
      <c r="J59" s="17" t="str">
        <f t="shared" si="2"/>
        <v/>
      </c>
      <c r="K59" s="29" t="str">
        <f t="shared" si="3"/>
        <v/>
      </c>
      <c r="L59" s="16"/>
      <c r="M59" s="49" t="str">
        <f t="array" ref="M59">IF($A59="","",IF(K59="Resolved",IF($H59&lt;&gt;"",IFERROR(INDEX('Bills &amp; Payments Due'!$M$7:$M$500,MATCH($H59,'Bills &amp; Payments Due'!$A$7:$A$500,0)),""),IFERROR(MAXIFS('Daily Transactions'!$A$6:$A$500,'Daily Transactions'!$K$6:$K$500,$O59,'Daily Transactions'!$C$6:$C$500,"Expense"),"")),""))</f>
        <v/>
      </c>
      <c r="N59" s="16"/>
      <c r="O59" s="26" t="str">
        <f t="shared" si="4"/>
        <v/>
      </c>
    </row>
    <row r="60" ht="15.0" customHeight="1">
      <c r="A60" s="60" t="str">
        <f t="shared" si="1"/>
        <v/>
      </c>
      <c r="B60" s="32"/>
      <c r="C60" s="33"/>
      <c r="D60" s="33"/>
      <c r="E60" s="33"/>
      <c r="F60" s="33"/>
      <c r="G60" s="34"/>
      <c r="H60" s="33"/>
      <c r="I60" s="61">
        <f t="array" ref="I60">IF($A60="",0,IF($H60&lt;&gt;"",IFERROR(INDEX('Bills &amp; Payments Due'!$I$7:$I$500,MATCH($H60,'Bills &amp; Payments Due'!$A$7:$A$500,0)),0),SUMIFS('Daily Transactions'!$F$6:$F$500,'Daily Transactions'!$K$6:$K$500,$O60,'Daily Transactions'!$C$6:$C$500,"Expense")))</f>
        <v>0</v>
      </c>
      <c r="J60" s="61" t="str">
        <f t="shared" si="2"/>
        <v/>
      </c>
      <c r="K60" s="60" t="str">
        <f t="shared" si="3"/>
        <v/>
      </c>
      <c r="L60" s="33"/>
      <c r="M60" s="56" t="str">
        <f t="array" ref="M60">IF($A60="","",IF(K60="Resolved",IF($H60&lt;&gt;"",IFERROR(INDEX('Bills &amp; Payments Due'!$M$7:$M$500,MATCH($H60,'Bills &amp; Payments Due'!$A$7:$A$500,0)),""),IFERROR(MAXIFS('Daily Transactions'!$A$6:$A$500,'Daily Transactions'!$K$6:$K$500,$O60,'Daily Transactions'!$C$6:$C$500,"Expense"),"")),""))</f>
        <v/>
      </c>
      <c r="N60" s="33"/>
      <c r="O60" s="26" t="str">
        <f t="shared" si="4"/>
        <v/>
      </c>
    </row>
    <row r="61" ht="15.0" customHeight="1">
      <c r="A61" s="29" t="str">
        <f t="shared" si="1"/>
        <v/>
      </c>
      <c r="B61" s="40"/>
      <c r="C61" s="16"/>
      <c r="D61" s="16"/>
      <c r="E61" s="16"/>
      <c r="F61" s="16"/>
      <c r="G61" s="41"/>
      <c r="H61" s="16"/>
      <c r="I61" s="17">
        <f t="array" ref="I61">IF($A61="",0,IF($H61&lt;&gt;"",IFERROR(INDEX('Bills &amp; Payments Due'!$I$7:$I$500,MATCH($H61,'Bills &amp; Payments Due'!$A$7:$A$500,0)),0),SUMIFS('Daily Transactions'!$F$6:$F$500,'Daily Transactions'!$K$6:$K$500,$O61,'Daily Transactions'!$C$6:$C$500,"Expense")))</f>
        <v>0</v>
      </c>
      <c r="J61" s="17" t="str">
        <f t="shared" si="2"/>
        <v/>
      </c>
      <c r="K61" s="29" t="str">
        <f t="shared" si="3"/>
        <v/>
      </c>
      <c r="L61" s="16"/>
      <c r="M61" s="49" t="str">
        <f t="array" ref="M61">IF($A61="","",IF(K61="Resolved",IF($H61&lt;&gt;"",IFERROR(INDEX('Bills &amp; Payments Due'!$M$7:$M$500,MATCH($H61,'Bills &amp; Payments Due'!$A$7:$A$500,0)),""),IFERROR(MAXIFS('Daily Transactions'!$A$6:$A$500,'Daily Transactions'!$K$6:$K$500,$O61,'Daily Transactions'!$C$6:$C$500,"Expense"),"")),""))</f>
        <v/>
      </c>
      <c r="N61" s="16"/>
      <c r="O61" s="26" t="str">
        <f t="shared" si="4"/>
        <v/>
      </c>
    </row>
    <row r="62" ht="15.0" customHeight="1">
      <c r="A62" s="60" t="str">
        <f t="shared" si="1"/>
        <v/>
      </c>
      <c r="B62" s="32"/>
      <c r="C62" s="33"/>
      <c r="D62" s="33"/>
      <c r="E62" s="33"/>
      <c r="F62" s="33"/>
      <c r="G62" s="34"/>
      <c r="H62" s="33"/>
      <c r="I62" s="61">
        <f t="array" ref="I62">IF($A62="",0,IF($H62&lt;&gt;"",IFERROR(INDEX('Bills &amp; Payments Due'!$I$7:$I$500,MATCH($H62,'Bills &amp; Payments Due'!$A$7:$A$500,0)),0),SUMIFS('Daily Transactions'!$F$6:$F$500,'Daily Transactions'!$K$6:$K$500,$O62,'Daily Transactions'!$C$6:$C$500,"Expense")))</f>
        <v>0</v>
      </c>
      <c r="J62" s="61" t="str">
        <f t="shared" si="2"/>
        <v/>
      </c>
      <c r="K62" s="60" t="str">
        <f t="shared" si="3"/>
        <v/>
      </c>
      <c r="L62" s="33"/>
      <c r="M62" s="56" t="str">
        <f t="array" ref="M62">IF($A62="","",IF(K62="Resolved",IF($H62&lt;&gt;"",IFERROR(INDEX('Bills &amp; Payments Due'!$M$7:$M$500,MATCH($H62,'Bills &amp; Payments Due'!$A$7:$A$500,0)),""),IFERROR(MAXIFS('Daily Transactions'!$A$6:$A$500,'Daily Transactions'!$K$6:$K$500,$O62,'Daily Transactions'!$C$6:$C$500,"Expense"),"")),""))</f>
        <v/>
      </c>
      <c r="N62" s="33"/>
      <c r="O62" s="26" t="str">
        <f t="shared" si="4"/>
        <v/>
      </c>
    </row>
    <row r="63" ht="15.0" customHeight="1">
      <c r="A63" s="29" t="str">
        <f t="shared" si="1"/>
        <v/>
      </c>
      <c r="B63" s="40"/>
      <c r="C63" s="16"/>
      <c r="D63" s="16"/>
      <c r="E63" s="16"/>
      <c r="F63" s="16"/>
      <c r="G63" s="41"/>
      <c r="H63" s="16"/>
      <c r="I63" s="17">
        <f t="array" ref="I63">IF($A63="",0,IF($H63&lt;&gt;"",IFERROR(INDEX('Bills &amp; Payments Due'!$I$7:$I$500,MATCH($H63,'Bills &amp; Payments Due'!$A$7:$A$500,0)),0),SUMIFS('Daily Transactions'!$F$6:$F$500,'Daily Transactions'!$K$6:$K$500,$O63,'Daily Transactions'!$C$6:$C$500,"Expense")))</f>
        <v>0</v>
      </c>
      <c r="J63" s="17" t="str">
        <f t="shared" si="2"/>
        <v/>
      </c>
      <c r="K63" s="29" t="str">
        <f t="shared" si="3"/>
        <v/>
      </c>
      <c r="L63" s="16"/>
      <c r="M63" s="49" t="str">
        <f t="array" ref="M63">IF($A63="","",IF(K63="Resolved",IF($H63&lt;&gt;"",IFERROR(INDEX('Bills &amp; Payments Due'!$M$7:$M$500,MATCH($H63,'Bills &amp; Payments Due'!$A$7:$A$500,0)),""),IFERROR(MAXIFS('Daily Transactions'!$A$6:$A$500,'Daily Transactions'!$K$6:$K$500,$O63,'Daily Transactions'!$C$6:$C$500,"Expense"),"")),""))</f>
        <v/>
      </c>
      <c r="N63" s="16"/>
      <c r="O63" s="26" t="str">
        <f t="shared" si="4"/>
        <v/>
      </c>
    </row>
    <row r="64" ht="15.0" customHeight="1">
      <c r="A64" s="60" t="str">
        <f t="shared" si="1"/>
        <v/>
      </c>
      <c r="B64" s="32"/>
      <c r="C64" s="33"/>
      <c r="D64" s="33"/>
      <c r="E64" s="33"/>
      <c r="F64" s="33"/>
      <c r="G64" s="34"/>
      <c r="H64" s="33"/>
      <c r="I64" s="61">
        <f t="array" ref="I64">IF($A64="",0,IF($H64&lt;&gt;"",IFERROR(INDEX('Bills &amp; Payments Due'!$I$7:$I$500,MATCH($H64,'Bills &amp; Payments Due'!$A$7:$A$500,0)),0),SUMIFS('Daily Transactions'!$F$6:$F$500,'Daily Transactions'!$K$6:$K$500,$O64,'Daily Transactions'!$C$6:$C$500,"Expense")))</f>
        <v>0</v>
      </c>
      <c r="J64" s="61" t="str">
        <f t="shared" si="2"/>
        <v/>
      </c>
      <c r="K64" s="60" t="str">
        <f t="shared" si="3"/>
        <v/>
      </c>
      <c r="L64" s="33"/>
      <c r="M64" s="56" t="str">
        <f t="array" ref="M64">IF($A64="","",IF(K64="Resolved",IF($H64&lt;&gt;"",IFERROR(INDEX('Bills &amp; Payments Due'!$M$7:$M$500,MATCH($H64,'Bills &amp; Payments Due'!$A$7:$A$500,0)),""),IFERROR(MAXIFS('Daily Transactions'!$A$6:$A$500,'Daily Transactions'!$K$6:$K$500,$O64,'Daily Transactions'!$C$6:$C$500,"Expense"),"")),""))</f>
        <v/>
      </c>
      <c r="N64" s="33"/>
      <c r="O64" s="26" t="str">
        <f t="shared" si="4"/>
        <v/>
      </c>
    </row>
    <row r="65" ht="15.0" customHeight="1">
      <c r="A65" s="29" t="str">
        <f t="shared" si="1"/>
        <v/>
      </c>
      <c r="B65" s="40"/>
      <c r="C65" s="16"/>
      <c r="D65" s="16"/>
      <c r="E65" s="16"/>
      <c r="F65" s="16"/>
      <c r="G65" s="41"/>
      <c r="H65" s="16"/>
      <c r="I65" s="17">
        <f t="array" ref="I65">IF($A65="",0,IF($H65&lt;&gt;"",IFERROR(INDEX('Bills &amp; Payments Due'!$I$7:$I$500,MATCH($H65,'Bills &amp; Payments Due'!$A$7:$A$500,0)),0),SUMIFS('Daily Transactions'!$F$6:$F$500,'Daily Transactions'!$K$6:$K$500,$O65,'Daily Transactions'!$C$6:$C$500,"Expense")))</f>
        <v>0</v>
      </c>
      <c r="J65" s="17" t="str">
        <f t="shared" si="2"/>
        <v/>
      </c>
      <c r="K65" s="29" t="str">
        <f t="shared" si="3"/>
        <v/>
      </c>
      <c r="L65" s="16"/>
      <c r="M65" s="49" t="str">
        <f t="array" ref="M65">IF($A65="","",IF(K65="Resolved",IF($H65&lt;&gt;"",IFERROR(INDEX('Bills &amp; Payments Due'!$M$7:$M$500,MATCH($H65,'Bills &amp; Payments Due'!$A$7:$A$500,0)),""),IFERROR(MAXIFS('Daily Transactions'!$A$6:$A$500,'Daily Transactions'!$K$6:$K$500,$O65,'Daily Transactions'!$C$6:$C$500,"Expense"),"")),""))</f>
        <v/>
      </c>
      <c r="N65" s="16"/>
      <c r="O65" s="26" t="str">
        <f t="shared" si="4"/>
        <v/>
      </c>
    </row>
    <row r="66" ht="15.0" customHeight="1">
      <c r="A66" s="60" t="str">
        <f t="shared" si="1"/>
        <v/>
      </c>
      <c r="B66" s="32"/>
      <c r="C66" s="33"/>
      <c r="D66" s="33"/>
      <c r="E66" s="33"/>
      <c r="F66" s="33"/>
      <c r="G66" s="34"/>
      <c r="H66" s="33"/>
      <c r="I66" s="61">
        <f t="array" ref="I66">IF($A66="",0,IF($H66&lt;&gt;"",IFERROR(INDEX('Bills &amp; Payments Due'!$I$7:$I$500,MATCH($H66,'Bills &amp; Payments Due'!$A$7:$A$500,0)),0),SUMIFS('Daily Transactions'!$F$6:$F$500,'Daily Transactions'!$K$6:$K$500,$O66,'Daily Transactions'!$C$6:$C$500,"Expense")))</f>
        <v>0</v>
      </c>
      <c r="J66" s="61" t="str">
        <f t="shared" si="2"/>
        <v/>
      </c>
      <c r="K66" s="60" t="str">
        <f t="shared" si="3"/>
        <v/>
      </c>
      <c r="L66" s="33"/>
      <c r="M66" s="56" t="str">
        <f t="array" ref="M66">IF($A66="","",IF(K66="Resolved",IF($H66&lt;&gt;"",IFERROR(INDEX('Bills &amp; Payments Due'!$M$7:$M$500,MATCH($H66,'Bills &amp; Payments Due'!$A$7:$A$500,0)),""),IFERROR(MAXIFS('Daily Transactions'!$A$6:$A$500,'Daily Transactions'!$K$6:$K$500,$O66,'Daily Transactions'!$C$6:$C$500,"Expense"),"")),""))</f>
        <v/>
      </c>
      <c r="N66" s="33"/>
      <c r="O66" s="26" t="str">
        <f t="shared" si="4"/>
        <v/>
      </c>
    </row>
    <row r="67" ht="15.0" customHeight="1">
      <c r="A67" s="29" t="str">
        <f t="shared" si="1"/>
        <v/>
      </c>
      <c r="B67" s="40"/>
      <c r="C67" s="16"/>
      <c r="D67" s="16"/>
      <c r="E67" s="16"/>
      <c r="F67" s="16"/>
      <c r="G67" s="41"/>
      <c r="H67" s="16"/>
      <c r="I67" s="17">
        <f t="array" ref="I67">IF($A67="",0,IF($H67&lt;&gt;"",IFERROR(INDEX('Bills &amp; Payments Due'!$I$7:$I$500,MATCH($H67,'Bills &amp; Payments Due'!$A$7:$A$500,0)),0),SUMIFS('Daily Transactions'!$F$6:$F$500,'Daily Transactions'!$K$6:$K$500,$O67,'Daily Transactions'!$C$6:$C$500,"Expense")))</f>
        <v>0</v>
      </c>
      <c r="J67" s="17" t="str">
        <f t="shared" si="2"/>
        <v/>
      </c>
      <c r="K67" s="29" t="str">
        <f t="shared" si="3"/>
        <v/>
      </c>
      <c r="L67" s="16"/>
      <c r="M67" s="49" t="str">
        <f t="array" ref="M67">IF($A67="","",IF(K67="Resolved",IF($H67&lt;&gt;"",IFERROR(INDEX('Bills &amp; Payments Due'!$M$7:$M$500,MATCH($H67,'Bills &amp; Payments Due'!$A$7:$A$500,0)),""),IFERROR(MAXIFS('Daily Transactions'!$A$6:$A$500,'Daily Transactions'!$K$6:$K$500,$O67,'Daily Transactions'!$C$6:$C$500,"Expense"),"")),""))</f>
        <v/>
      </c>
      <c r="N67" s="16"/>
      <c r="O67" s="26" t="str">
        <f t="shared" si="4"/>
        <v/>
      </c>
    </row>
    <row r="68" ht="15.0" customHeight="1">
      <c r="A68" s="60" t="str">
        <f t="shared" si="1"/>
        <v/>
      </c>
      <c r="B68" s="32"/>
      <c r="C68" s="33"/>
      <c r="D68" s="33"/>
      <c r="E68" s="33"/>
      <c r="F68" s="33"/>
      <c r="G68" s="34"/>
      <c r="H68" s="33"/>
      <c r="I68" s="61">
        <f t="array" ref="I68">IF($A68="",0,IF($H68&lt;&gt;"",IFERROR(INDEX('Bills &amp; Payments Due'!$I$7:$I$500,MATCH($H68,'Bills &amp; Payments Due'!$A$7:$A$500,0)),0),SUMIFS('Daily Transactions'!$F$6:$F$500,'Daily Transactions'!$K$6:$K$500,$O68,'Daily Transactions'!$C$6:$C$500,"Expense")))</f>
        <v>0</v>
      </c>
      <c r="J68" s="61" t="str">
        <f t="shared" si="2"/>
        <v/>
      </c>
      <c r="K68" s="60" t="str">
        <f t="shared" si="3"/>
        <v/>
      </c>
      <c r="L68" s="33"/>
      <c r="M68" s="56" t="str">
        <f t="array" ref="M68">IF($A68="","",IF(K68="Resolved",IF($H68&lt;&gt;"",IFERROR(INDEX('Bills &amp; Payments Due'!$M$7:$M$500,MATCH($H68,'Bills &amp; Payments Due'!$A$7:$A$500,0)),""),IFERROR(MAXIFS('Daily Transactions'!$A$6:$A$500,'Daily Transactions'!$K$6:$K$500,$O68,'Daily Transactions'!$C$6:$C$500,"Expense"),"")),""))</f>
        <v/>
      </c>
      <c r="N68" s="33"/>
      <c r="O68" s="26" t="str">
        <f t="shared" si="4"/>
        <v/>
      </c>
    </row>
    <row r="69" ht="15.0" customHeight="1">
      <c r="A69" s="29" t="str">
        <f t="shared" si="1"/>
        <v/>
      </c>
      <c r="B69" s="40"/>
      <c r="C69" s="16"/>
      <c r="D69" s="16"/>
      <c r="E69" s="16"/>
      <c r="F69" s="16"/>
      <c r="G69" s="41"/>
      <c r="H69" s="16"/>
      <c r="I69" s="17">
        <f t="array" ref="I69">IF($A69="",0,IF($H69&lt;&gt;"",IFERROR(INDEX('Bills &amp; Payments Due'!$I$7:$I$500,MATCH($H69,'Bills &amp; Payments Due'!$A$7:$A$500,0)),0),SUMIFS('Daily Transactions'!$F$6:$F$500,'Daily Transactions'!$K$6:$K$500,$O69,'Daily Transactions'!$C$6:$C$500,"Expense")))</f>
        <v>0</v>
      </c>
      <c r="J69" s="17" t="str">
        <f t="shared" si="2"/>
        <v/>
      </c>
      <c r="K69" s="29" t="str">
        <f t="shared" si="3"/>
        <v/>
      </c>
      <c r="L69" s="16"/>
      <c r="M69" s="49" t="str">
        <f t="array" ref="M69">IF($A69="","",IF(K69="Resolved",IF($H69&lt;&gt;"",IFERROR(INDEX('Bills &amp; Payments Due'!$M$7:$M$500,MATCH($H69,'Bills &amp; Payments Due'!$A$7:$A$500,0)),""),IFERROR(MAXIFS('Daily Transactions'!$A$6:$A$500,'Daily Transactions'!$K$6:$K$500,$O69,'Daily Transactions'!$C$6:$C$500,"Expense"),"")),""))</f>
        <v/>
      </c>
      <c r="N69" s="16"/>
      <c r="O69" s="26" t="str">
        <f t="shared" si="4"/>
        <v/>
      </c>
    </row>
    <row r="70" ht="15.0" customHeight="1">
      <c r="A70" s="60" t="str">
        <f t="shared" si="1"/>
        <v/>
      </c>
      <c r="B70" s="32"/>
      <c r="C70" s="33"/>
      <c r="D70" s="33"/>
      <c r="E70" s="33"/>
      <c r="F70" s="33"/>
      <c r="G70" s="34"/>
      <c r="H70" s="33"/>
      <c r="I70" s="61">
        <f t="array" ref="I70">IF($A70="",0,IF($H70&lt;&gt;"",IFERROR(INDEX('Bills &amp; Payments Due'!$I$7:$I$500,MATCH($H70,'Bills &amp; Payments Due'!$A$7:$A$500,0)),0),SUMIFS('Daily Transactions'!$F$6:$F$500,'Daily Transactions'!$K$6:$K$500,$O70,'Daily Transactions'!$C$6:$C$500,"Expense")))</f>
        <v>0</v>
      </c>
      <c r="J70" s="61" t="str">
        <f t="shared" si="2"/>
        <v/>
      </c>
      <c r="K70" s="60" t="str">
        <f t="shared" si="3"/>
        <v/>
      </c>
      <c r="L70" s="33"/>
      <c r="M70" s="56" t="str">
        <f t="array" ref="M70">IF($A70="","",IF(K70="Resolved",IF($H70&lt;&gt;"",IFERROR(INDEX('Bills &amp; Payments Due'!$M$7:$M$500,MATCH($H70,'Bills &amp; Payments Due'!$A$7:$A$500,0)),""),IFERROR(MAXIFS('Daily Transactions'!$A$6:$A$500,'Daily Transactions'!$K$6:$K$500,$O70,'Daily Transactions'!$C$6:$C$500,"Expense"),"")),""))</f>
        <v/>
      </c>
      <c r="N70" s="33"/>
      <c r="O70" s="26" t="str">
        <f t="shared" si="4"/>
        <v/>
      </c>
    </row>
    <row r="71" ht="15.0" customHeight="1">
      <c r="A71" s="29" t="str">
        <f t="shared" si="1"/>
        <v/>
      </c>
      <c r="B71" s="40"/>
      <c r="C71" s="16"/>
      <c r="D71" s="16"/>
      <c r="E71" s="16"/>
      <c r="F71" s="16"/>
      <c r="G71" s="41"/>
      <c r="H71" s="16"/>
      <c r="I71" s="17">
        <f t="array" ref="I71">IF($A71="",0,IF($H71&lt;&gt;"",IFERROR(INDEX('Bills &amp; Payments Due'!$I$7:$I$500,MATCH($H71,'Bills &amp; Payments Due'!$A$7:$A$500,0)),0),SUMIFS('Daily Transactions'!$F$6:$F$500,'Daily Transactions'!$K$6:$K$500,$O71,'Daily Transactions'!$C$6:$C$500,"Expense")))</f>
        <v>0</v>
      </c>
      <c r="J71" s="17" t="str">
        <f t="shared" si="2"/>
        <v/>
      </c>
      <c r="K71" s="29" t="str">
        <f t="shared" si="3"/>
        <v/>
      </c>
      <c r="L71" s="16"/>
      <c r="M71" s="49" t="str">
        <f t="array" ref="M71">IF($A71="","",IF(K71="Resolved",IF($H71&lt;&gt;"",IFERROR(INDEX('Bills &amp; Payments Due'!$M$7:$M$500,MATCH($H71,'Bills &amp; Payments Due'!$A$7:$A$500,0)),""),IFERROR(MAXIFS('Daily Transactions'!$A$6:$A$500,'Daily Transactions'!$K$6:$K$500,$O71,'Daily Transactions'!$C$6:$C$500,"Expense"),"")),""))</f>
        <v/>
      </c>
      <c r="N71" s="16"/>
      <c r="O71" s="26" t="str">
        <f t="shared" si="4"/>
        <v/>
      </c>
    </row>
    <row r="72" ht="15.0" customHeight="1">
      <c r="A72" s="60" t="str">
        <f t="shared" si="1"/>
        <v/>
      </c>
      <c r="B72" s="32"/>
      <c r="C72" s="33"/>
      <c r="D72" s="33"/>
      <c r="E72" s="33"/>
      <c r="F72" s="33"/>
      <c r="G72" s="34"/>
      <c r="H72" s="33"/>
      <c r="I72" s="61">
        <f t="array" ref="I72">IF($A72="",0,IF($H72&lt;&gt;"",IFERROR(INDEX('Bills &amp; Payments Due'!$I$7:$I$500,MATCH($H72,'Bills &amp; Payments Due'!$A$7:$A$500,0)),0),SUMIFS('Daily Transactions'!$F$6:$F$500,'Daily Transactions'!$K$6:$K$500,$O72,'Daily Transactions'!$C$6:$C$500,"Expense")))</f>
        <v>0</v>
      </c>
      <c r="J72" s="61" t="str">
        <f t="shared" si="2"/>
        <v/>
      </c>
      <c r="K72" s="60" t="str">
        <f t="shared" si="3"/>
        <v/>
      </c>
      <c r="L72" s="33"/>
      <c r="M72" s="56" t="str">
        <f t="array" ref="M72">IF($A72="","",IF(K72="Resolved",IF($H72&lt;&gt;"",IFERROR(INDEX('Bills &amp; Payments Due'!$M$7:$M$500,MATCH($H72,'Bills &amp; Payments Due'!$A$7:$A$500,0)),""),IFERROR(MAXIFS('Daily Transactions'!$A$6:$A$500,'Daily Transactions'!$K$6:$K$500,$O72,'Daily Transactions'!$C$6:$C$500,"Expense"),"")),""))</f>
        <v/>
      </c>
      <c r="N72" s="33"/>
      <c r="O72" s="26" t="str">
        <f t="shared" si="4"/>
        <v/>
      </c>
    </row>
    <row r="73" ht="15.0" customHeight="1">
      <c r="A73" s="29" t="str">
        <f t="shared" si="1"/>
        <v/>
      </c>
      <c r="B73" s="40"/>
      <c r="C73" s="16"/>
      <c r="D73" s="16"/>
      <c r="E73" s="16"/>
      <c r="F73" s="16"/>
      <c r="G73" s="41"/>
      <c r="H73" s="16"/>
      <c r="I73" s="17">
        <f t="array" ref="I73">IF($A73="",0,IF($H73&lt;&gt;"",IFERROR(INDEX('Bills &amp; Payments Due'!$I$7:$I$500,MATCH($H73,'Bills &amp; Payments Due'!$A$7:$A$500,0)),0),SUMIFS('Daily Transactions'!$F$6:$F$500,'Daily Transactions'!$K$6:$K$500,$O73,'Daily Transactions'!$C$6:$C$500,"Expense")))</f>
        <v>0</v>
      </c>
      <c r="J73" s="17" t="str">
        <f t="shared" si="2"/>
        <v/>
      </c>
      <c r="K73" s="29" t="str">
        <f t="shared" si="3"/>
        <v/>
      </c>
      <c r="L73" s="16"/>
      <c r="M73" s="49" t="str">
        <f t="array" ref="M73">IF($A73="","",IF(K73="Resolved",IF($H73&lt;&gt;"",IFERROR(INDEX('Bills &amp; Payments Due'!$M$7:$M$500,MATCH($H73,'Bills &amp; Payments Due'!$A$7:$A$500,0)),""),IFERROR(MAXIFS('Daily Transactions'!$A$6:$A$500,'Daily Transactions'!$K$6:$K$500,$O73,'Daily Transactions'!$C$6:$C$500,"Expense"),"")),""))</f>
        <v/>
      </c>
      <c r="N73" s="16"/>
      <c r="O73" s="26" t="str">
        <f t="shared" si="4"/>
        <v/>
      </c>
    </row>
    <row r="74" ht="15.0" customHeight="1">
      <c r="A74" s="60" t="str">
        <f t="shared" si="1"/>
        <v/>
      </c>
      <c r="B74" s="32"/>
      <c r="C74" s="33"/>
      <c r="D74" s="33"/>
      <c r="E74" s="33"/>
      <c r="F74" s="33"/>
      <c r="G74" s="34"/>
      <c r="H74" s="33"/>
      <c r="I74" s="61">
        <f t="array" ref="I74">IF($A74="",0,IF($H74&lt;&gt;"",IFERROR(INDEX('Bills &amp; Payments Due'!$I$7:$I$500,MATCH($H74,'Bills &amp; Payments Due'!$A$7:$A$500,0)),0),SUMIFS('Daily Transactions'!$F$6:$F$500,'Daily Transactions'!$K$6:$K$500,$O74,'Daily Transactions'!$C$6:$C$500,"Expense")))</f>
        <v>0</v>
      </c>
      <c r="J74" s="61" t="str">
        <f t="shared" si="2"/>
        <v/>
      </c>
      <c r="K74" s="60" t="str">
        <f t="shared" si="3"/>
        <v/>
      </c>
      <c r="L74" s="33"/>
      <c r="M74" s="56" t="str">
        <f t="array" ref="M74">IF($A74="","",IF(K74="Resolved",IF($H74&lt;&gt;"",IFERROR(INDEX('Bills &amp; Payments Due'!$M$7:$M$500,MATCH($H74,'Bills &amp; Payments Due'!$A$7:$A$500,0)),""),IFERROR(MAXIFS('Daily Transactions'!$A$6:$A$500,'Daily Transactions'!$K$6:$K$500,$O74,'Daily Transactions'!$C$6:$C$500,"Expense"),"")),""))</f>
        <v/>
      </c>
      <c r="N74" s="33"/>
      <c r="O74" s="26" t="str">
        <f t="shared" si="4"/>
        <v/>
      </c>
    </row>
    <row r="75" ht="15.0" customHeight="1">
      <c r="A75" s="29" t="str">
        <f t="shared" si="1"/>
        <v/>
      </c>
      <c r="B75" s="40"/>
      <c r="C75" s="16"/>
      <c r="D75" s="16"/>
      <c r="E75" s="16"/>
      <c r="F75" s="16"/>
      <c r="G75" s="41"/>
      <c r="H75" s="16"/>
      <c r="I75" s="17">
        <f t="array" ref="I75">IF($A75="",0,IF($H75&lt;&gt;"",IFERROR(INDEX('Bills &amp; Payments Due'!$I$7:$I$500,MATCH($H75,'Bills &amp; Payments Due'!$A$7:$A$500,0)),0),SUMIFS('Daily Transactions'!$F$6:$F$500,'Daily Transactions'!$K$6:$K$500,$O75,'Daily Transactions'!$C$6:$C$500,"Expense")))</f>
        <v>0</v>
      </c>
      <c r="J75" s="17" t="str">
        <f t="shared" si="2"/>
        <v/>
      </c>
      <c r="K75" s="29" t="str">
        <f t="shared" si="3"/>
        <v/>
      </c>
      <c r="L75" s="16"/>
      <c r="M75" s="49" t="str">
        <f t="array" ref="M75">IF($A75="","",IF(K75="Resolved",IF($H75&lt;&gt;"",IFERROR(INDEX('Bills &amp; Payments Due'!$M$7:$M$500,MATCH($H75,'Bills &amp; Payments Due'!$A$7:$A$500,0)),""),IFERROR(MAXIFS('Daily Transactions'!$A$6:$A$500,'Daily Transactions'!$K$6:$K$500,$O75,'Daily Transactions'!$C$6:$C$500,"Expense"),"")),""))</f>
        <v/>
      </c>
      <c r="N75" s="16"/>
      <c r="O75" s="26" t="str">
        <f t="shared" si="4"/>
        <v/>
      </c>
    </row>
    <row r="76" ht="15.0" customHeight="1">
      <c r="A76" s="60" t="str">
        <f t="shared" si="1"/>
        <v/>
      </c>
      <c r="B76" s="32"/>
      <c r="C76" s="33"/>
      <c r="D76" s="33"/>
      <c r="E76" s="33"/>
      <c r="F76" s="33"/>
      <c r="G76" s="34"/>
      <c r="H76" s="33"/>
      <c r="I76" s="61">
        <f t="array" ref="I76">IF($A76="",0,IF($H76&lt;&gt;"",IFERROR(INDEX('Bills &amp; Payments Due'!$I$7:$I$500,MATCH($H76,'Bills &amp; Payments Due'!$A$7:$A$500,0)),0),SUMIFS('Daily Transactions'!$F$6:$F$500,'Daily Transactions'!$K$6:$K$500,$O76,'Daily Transactions'!$C$6:$C$500,"Expense")))</f>
        <v>0</v>
      </c>
      <c r="J76" s="61" t="str">
        <f t="shared" si="2"/>
        <v/>
      </c>
      <c r="K76" s="60" t="str">
        <f t="shared" si="3"/>
        <v/>
      </c>
      <c r="L76" s="33"/>
      <c r="M76" s="56" t="str">
        <f t="array" ref="M76">IF($A76="","",IF(K76="Resolved",IF($H76&lt;&gt;"",IFERROR(INDEX('Bills &amp; Payments Due'!$M$7:$M$500,MATCH($H76,'Bills &amp; Payments Due'!$A$7:$A$500,0)),""),IFERROR(MAXIFS('Daily Transactions'!$A$6:$A$500,'Daily Transactions'!$K$6:$K$500,$O76,'Daily Transactions'!$C$6:$C$500,"Expense"),"")),""))</f>
        <v/>
      </c>
      <c r="N76" s="33"/>
      <c r="O76" s="26" t="str">
        <f t="shared" si="4"/>
        <v/>
      </c>
    </row>
    <row r="77" ht="15.0" customHeight="1">
      <c r="A77" s="29" t="str">
        <f t="shared" si="1"/>
        <v/>
      </c>
      <c r="B77" s="40"/>
      <c r="C77" s="16"/>
      <c r="D77" s="16"/>
      <c r="E77" s="16"/>
      <c r="F77" s="16"/>
      <c r="G77" s="41"/>
      <c r="H77" s="16"/>
      <c r="I77" s="17">
        <f t="array" ref="I77">IF($A77="",0,IF($H77&lt;&gt;"",IFERROR(INDEX('Bills &amp; Payments Due'!$I$7:$I$500,MATCH($H77,'Bills &amp; Payments Due'!$A$7:$A$500,0)),0),SUMIFS('Daily Transactions'!$F$6:$F$500,'Daily Transactions'!$K$6:$K$500,$O77,'Daily Transactions'!$C$6:$C$500,"Expense")))</f>
        <v>0</v>
      </c>
      <c r="J77" s="17" t="str">
        <f t="shared" si="2"/>
        <v/>
      </c>
      <c r="K77" s="29" t="str">
        <f t="shared" si="3"/>
        <v/>
      </c>
      <c r="L77" s="16"/>
      <c r="M77" s="49" t="str">
        <f t="array" ref="M77">IF($A77="","",IF(K77="Resolved",IF($H77&lt;&gt;"",IFERROR(INDEX('Bills &amp; Payments Due'!$M$7:$M$500,MATCH($H77,'Bills &amp; Payments Due'!$A$7:$A$500,0)),""),IFERROR(MAXIFS('Daily Transactions'!$A$6:$A$500,'Daily Transactions'!$K$6:$K$500,$O77,'Daily Transactions'!$C$6:$C$500,"Expense"),"")),""))</f>
        <v/>
      </c>
      <c r="N77" s="16"/>
      <c r="O77" s="26" t="str">
        <f t="shared" si="4"/>
        <v/>
      </c>
    </row>
    <row r="78" ht="15.0" customHeight="1">
      <c r="A78" s="60" t="str">
        <f t="shared" si="1"/>
        <v/>
      </c>
      <c r="B78" s="32"/>
      <c r="C78" s="33"/>
      <c r="D78" s="33"/>
      <c r="E78" s="33"/>
      <c r="F78" s="33"/>
      <c r="G78" s="34"/>
      <c r="H78" s="33"/>
      <c r="I78" s="61">
        <f t="array" ref="I78">IF($A78="",0,IF($H78&lt;&gt;"",IFERROR(INDEX('Bills &amp; Payments Due'!$I$7:$I$500,MATCH($H78,'Bills &amp; Payments Due'!$A$7:$A$500,0)),0),SUMIFS('Daily Transactions'!$F$6:$F$500,'Daily Transactions'!$K$6:$K$500,$O78,'Daily Transactions'!$C$6:$C$500,"Expense")))</f>
        <v>0</v>
      </c>
      <c r="J78" s="61" t="str">
        <f t="shared" si="2"/>
        <v/>
      </c>
      <c r="K78" s="60" t="str">
        <f t="shared" si="3"/>
        <v/>
      </c>
      <c r="L78" s="33"/>
      <c r="M78" s="56" t="str">
        <f t="array" ref="M78">IF($A78="","",IF(K78="Resolved",IF($H78&lt;&gt;"",IFERROR(INDEX('Bills &amp; Payments Due'!$M$7:$M$500,MATCH($H78,'Bills &amp; Payments Due'!$A$7:$A$500,0)),""),IFERROR(MAXIFS('Daily Transactions'!$A$6:$A$500,'Daily Transactions'!$K$6:$K$500,$O78,'Daily Transactions'!$C$6:$C$500,"Expense"),"")),""))</f>
        <v/>
      </c>
      <c r="N78" s="33"/>
      <c r="O78" s="26" t="str">
        <f t="shared" si="4"/>
        <v/>
      </c>
    </row>
    <row r="79" ht="15.0" customHeight="1">
      <c r="A79" s="29" t="str">
        <f t="shared" si="1"/>
        <v/>
      </c>
      <c r="B79" s="40"/>
      <c r="C79" s="16"/>
      <c r="D79" s="16"/>
      <c r="E79" s="16"/>
      <c r="F79" s="16"/>
      <c r="G79" s="41"/>
      <c r="H79" s="16"/>
      <c r="I79" s="17">
        <f t="array" ref="I79">IF($A79="",0,IF($H79&lt;&gt;"",IFERROR(INDEX('Bills &amp; Payments Due'!$I$7:$I$500,MATCH($H79,'Bills &amp; Payments Due'!$A$7:$A$500,0)),0),SUMIFS('Daily Transactions'!$F$6:$F$500,'Daily Transactions'!$K$6:$K$500,$O79,'Daily Transactions'!$C$6:$C$500,"Expense")))</f>
        <v>0</v>
      </c>
      <c r="J79" s="17" t="str">
        <f t="shared" si="2"/>
        <v/>
      </c>
      <c r="K79" s="29" t="str">
        <f t="shared" si="3"/>
        <v/>
      </c>
      <c r="L79" s="16"/>
      <c r="M79" s="49" t="str">
        <f t="array" ref="M79">IF($A79="","",IF(K79="Resolved",IF($H79&lt;&gt;"",IFERROR(INDEX('Bills &amp; Payments Due'!$M$7:$M$500,MATCH($H79,'Bills &amp; Payments Due'!$A$7:$A$500,0)),""),IFERROR(MAXIFS('Daily Transactions'!$A$6:$A$500,'Daily Transactions'!$K$6:$K$500,$O79,'Daily Transactions'!$C$6:$C$500,"Expense"),"")),""))</f>
        <v/>
      </c>
      <c r="N79" s="16"/>
      <c r="O79" s="26" t="str">
        <f t="shared" si="4"/>
        <v/>
      </c>
    </row>
    <row r="80" ht="15.0" customHeight="1">
      <c r="A80" s="60" t="str">
        <f t="shared" si="1"/>
        <v/>
      </c>
      <c r="B80" s="32"/>
      <c r="C80" s="33"/>
      <c r="D80" s="33"/>
      <c r="E80" s="33"/>
      <c r="F80" s="33"/>
      <c r="G80" s="34"/>
      <c r="H80" s="33"/>
      <c r="I80" s="61">
        <f t="array" ref="I80">IF($A80="",0,IF($H80&lt;&gt;"",IFERROR(INDEX('Bills &amp; Payments Due'!$I$7:$I$500,MATCH($H80,'Bills &amp; Payments Due'!$A$7:$A$500,0)),0),SUMIFS('Daily Transactions'!$F$6:$F$500,'Daily Transactions'!$K$6:$K$500,$O80,'Daily Transactions'!$C$6:$C$500,"Expense")))</f>
        <v>0</v>
      </c>
      <c r="J80" s="61" t="str">
        <f t="shared" si="2"/>
        <v/>
      </c>
      <c r="K80" s="60" t="str">
        <f t="shared" si="3"/>
        <v/>
      </c>
      <c r="L80" s="33"/>
      <c r="M80" s="56" t="str">
        <f t="array" ref="M80">IF($A80="","",IF(K80="Resolved",IF($H80&lt;&gt;"",IFERROR(INDEX('Bills &amp; Payments Due'!$M$7:$M$500,MATCH($H80,'Bills &amp; Payments Due'!$A$7:$A$500,0)),""),IFERROR(MAXIFS('Daily Transactions'!$A$6:$A$500,'Daily Transactions'!$K$6:$K$500,$O80,'Daily Transactions'!$C$6:$C$500,"Expense"),"")),""))</f>
        <v/>
      </c>
      <c r="N80" s="33"/>
      <c r="O80" s="26" t="str">
        <f t="shared" si="4"/>
        <v/>
      </c>
    </row>
    <row r="81" ht="15.0" customHeight="1">
      <c r="A81" s="29" t="str">
        <f t="shared" si="1"/>
        <v/>
      </c>
      <c r="B81" s="40"/>
      <c r="C81" s="16"/>
      <c r="D81" s="16"/>
      <c r="E81" s="16"/>
      <c r="F81" s="16"/>
      <c r="G81" s="41"/>
      <c r="H81" s="16"/>
      <c r="I81" s="17">
        <f t="array" ref="I81">IF($A81="",0,IF($H81&lt;&gt;"",IFERROR(INDEX('Bills &amp; Payments Due'!$I$7:$I$500,MATCH($H81,'Bills &amp; Payments Due'!$A$7:$A$500,0)),0),SUMIFS('Daily Transactions'!$F$6:$F$500,'Daily Transactions'!$K$6:$K$500,$O81,'Daily Transactions'!$C$6:$C$500,"Expense")))</f>
        <v>0</v>
      </c>
      <c r="J81" s="17" t="str">
        <f t="shared" si="2"/>
        <v/>
      </c>
      <c r="K81" s="29" t="str">
        <f t="shared" si="3"/>
        <v/>
      </c>
      <c r="L81" s="16"/>
      <c r="M81" s="49" t="str">
        <f t="array" ref="M81">IF($A81="","",IF(K81="Resolved",IF($H81&lt;&gt;"",IFERROR(INDEX('Bills &amp; Payments Due'!$M$7:$M$500,MATCH($H81,'Bills &amp; Payments Due'!$A$7:$A$500,0)),""),IFERROR(MAXIFS('Daily Transactions'!$A$6:$A$500,'Daily Transactions'!$K$6:$K$500,$O81,'Daily Transactions'!$C$6:$C$500,"Expense"),"")),""))</f>
        <v/>
      </c>
      <c r="N81" s="16"/>
      <c r="O81" s="26" t="str">
        <f t="shared" si="4"/>
        <v/>
      </c>
    </row>
    <row r="82" ht="15.0" customHeight="1">
      <c r="A82" s="60" t="str">
        <f t="shared" si="1"/>
        <v/>
      </c>
      <c r="B82" s="32"/>
      <c r="C82" s="33"/>
      <c r="D82" s="33"/>
      <c r="E82" s="33"/>
      <c r="F82" s="33"/>
      <c r="G82" s="34"/>
      <c r="H82" s="33"/>
      <c r="I82" s="61">
        <f t="array" ref="I82">IF($A82="",0,IF($H82&lt;&gt;"",IFERROR(INDEX('Bills &amp; Payments Due'!$I$7:$I$500,MATCH($H82,'Bills &amp; Payments Due'!$A$7:$A$500,0)),0),SUMIFS('Daily Transactions'!$F$6:$F$500,'Daily Transactions'!$K$6:$K$500,$O82,'Daily Transactions'!$C$6:$C$500,"Expense")))</f>
        <v>0</v>
      </c>
      <c r="J82" s="61" t="str">
        <f t="shared" si="2"/>
        <v/>
      </c>
      <c r="K82" s="60" t="str">
        <f t="shared" si="3"/>
        <v/>
      </c>
      <c r="L82" s="33"/>
      <c r="M82" s="56" t="str">
        <f t="array" ref="M82">IF($A82="","",IF(K82="Resolved",IF($H82&lt;&gt;"",IFERROR(INDEX('Bills &amp; Payments Due'!$M$7:$M$500,MATCH($H82,'Bills &amp; Payments Due'!$A$7:$A$500,0)),""),IFERROR(MAXIFS('Daily Transactions'!$A$6:$A$500,'Daily Transactions'!$K$6:$K$500,$O82,'Daily Transactions'!$C$6:$C$500,"Expense"),"")),""))</f>
        <v/>
      </c>
      <c r="N82" s="33"/>
      <c r="O82" s="26" t="str">
        <f t="shared" si="4"/>
        <v/>
      </c>
    </row>
    <row r="83" ht="15.0" customHeight="1">
      <c r="A83" s="29" t="str">
        <f t="shared" si="1"/>
        <v/>
      </c>
      <c r="B83" s="40"/>
      <c r="C83" s="16"/>
      <c r="D83" s="16"/>
      <c r="E83" s="16"/>
      <c r="F83" s="16"/>
      <c r="G83" s="41"/>
      <c r="H83" s="16"/>
      <c r="I83" s="17">
        <f t="array" ref="I83">IF($A83="",0,IF($H83&lt;&gt;"",IFERROR(INDEX('Bills &amp; Payments Due'!$I$7:$I$500,MATCH($H83,'Bills &amp; Payments Due'!$A$7:$A$500,0)),0),SUMIFS('Daily Transactions'!$F$6:$F$500,'Daily Transactions'!$K$6:$K$500,$O83,'Daily Transactions'!$C$6:$C$500,"Expense")))</f>
        <v>0</v>
      </c>
      <c r="J83" s="17" t="str">
        <f t="shared" si="2"/>
        <v/>
      </c>
      <c r="K83" s="29" t="str">
        <f t="shared" si="3"/>
        <v/>
      </c>
      <c r="L83" s="16"/>
      <c r="M83" s="49" t="str">
        <f t="array" ref="M83">IF($A83="","",IF(K83="Resolved",IF($H83&lt;&gt;"",IFERROR(INDEX('Bills &amp; Payments Due'!$M$7:$M$500,MATCH($H83,'Bills &amp; Payments Due'!$A$7:$A$500,0)),""),IFERROR(MAXIFS('Daily Transactions'!$A$6:$A$500,'Daily Transactions'!$K$6:$K$500,$O83,'Daily Transactions'!$C$6:$C$500,"Expense"),"")),""))</f>
        <v/>
      </c>
      <c r="N83" s="16"/>
      <c r="O83" s="26" t="str">
        <f t="shared" si="4"/>
        <v/>
      </c>
    </row>
    <row r="84" ht="15.0" customHeight="1">
      <c r="A84" s="60" t="str">
        <f t="shared" si="1"/>
        <v/>
      </c>
      <c r="B84" s="32"/>
      <c r="C84" s="33"/>
      <c r="D84" s="33"/>
      <c r="E84" s="33"/>
      <c r="F84" s="33"/>
      <c r="G84" s="34"/>
      <c r="H84" s="33"/>
      <c r="I84" s="61">
        <f t="array" ref="I84">IF($A84="",0,IF($H84&lt;&gt;"",IFERROR(INDEX('Bills &amp; Payments Due'!$I$7:$I$500,MATCH($H84,'Bills &amp; Payments Due'!$A$7:$A$500,0)),0),SUMIFS('Daily Transactions'!$F$6:$F$500,'Daily Transactions'!$K$6:$K$500,$O84,'Daily Transactions'!$C$6:$C$500,"Expense")))</f>
        <v>0</v>
      </c>
      <c r="J84" s="61" t="str">
        <f t="shared" si="2"/>
        <v/>
      </c>
      <c r="K84" s="60" t="str">
        <f t="shared" si="3"/>
        <v/>
      </c>
      <c r="L84" s="33"/>
      <c r="M84" s="56" t="str">
        <f t="array" ref="M84">IF($A84="","",IF(K84="Resolved",IF($H84&lt;&gt;"",IFERROR(INDEX('Bills &amp; Payments Due'!$M$7:$M$500,MATCH($H84,'Bills &amp; Payments Due'!$A$7:$A$500,0)),""),IFERROR(MAXIFS('Daily Transactions'!$A$6:$A$500,'Daily Transactions'!$K$6:$K$500,$O84,'Daily Transactions'!$C$6:$C$500,"Expense"),"")),""))</f>
        <v/>
      </c>
      <c r="N84" s="33"/>
      <c r="O84" s="26" t="str">
        <f t="shared" si="4"/>
        <v/>
      </c>
    </row>
    <row r="85" ht="15.0" customHeight="1">
      <c r="A85" s="29" t="str">
        <f t="shared" si="1"/>
        <v/>
      </c>
      <c r="B85" s="40"/>
      <c r="C85" s="16"/>
      <c r="D85" s="16"/>
      <c r="E85" s="16"/>
      <c r="F85" s="16"/>
      <c r="G85" s="41"/>
      <c r="H85" s="16"/>
      <c r="I85" s="17">
        <f t="array" ref="I85">IF($A85="",0,IF($H85&lt;&gt;"",IFERROR(INDEX('Bills &amp; Payments Due'!$I$7:$I$500,MATCH($H85,'Bills &amp; Payments Due'!$A$7:$A$500,0)),0),SUMIFS('Daily Transactions'!$F$6:$F$500,'Daily Transactions'!$K$6:$K$500,$O85,'Daily Transactions'!$C$6:$C$500,"Expense")))</f>
        <v>0</v>
      </c>
      <c r="J85" s="17" t="str">
        <f t="shared" si="2"/>
        <v/>
      </c>
      <c r="K85" s="29" t="str">
        <f t="shared" si="3"/>
        <v/>
      </c>
      <c r="L85" s="16"/>
      <c r="M85" s="49" t="str">
        <f t="array" ref="M85">IF($A85="","",IF(K85="Resolved",IF($H85&lt;&gt;"",IFERROR(INDEX('Bills &amp; Payments Due'!$M$7:$M$500,MATCH($H85,'Bills &amp; Payments Due'!$A$7:$A$500,0)),""),IFERROR(MAXIFS('Daily Transactions'!$A$6:$A$500,'Daily Transactions'!$K$6:$K$500,$O85,'Daily Transactions'!$C$6:$C$500,"Expense"),"")),""))</f>
        <v/>
      </c>
      <c r="N85" s="16"/>
      <c r="O85" s="26" t="str">
        <f t="shared" si="4"/>
        <v/>
      </c>
    </row>
    <row r="86" ht="15.0" customHeight="1">
      <c r="A86" s="60" t="str">
        <f t="shared" si="1"/>
        <v/>
      </c>
      <c r="B86" s="32"/>
      <c r="C86" s="33"/>
      <c r="D86" s="33"/>
      <c r="E86" s="33"/>
      <c r="F86" s="33"/>
      <c r="G86" s="34"/>
      <c r="H86" s="33"/>
      <c r="I86" s="61">
        <f t="array" ref="I86">IF($A86="",0,IF($H86&lt;&gt;"",IFERROR(INDEX('Bills &amp; Payments Due'!$I$7:$I$500,MATCH($H86,'Bills &amp; Payments Due'!$A$7:$A$500,0)),0),SUMIFS('Daily Transactions'!$F$6:$F$500,'Daily Transactions'!$K$6:$K$500,$O86,'Daily Transactions'!$C$6:$C$500,"Expense")))</f>
        <v>0</v>
      </c>
      <c r="J86" s="61" t="str">
        <f t="shared" si="2"/>
        <v/>
      </c>
      <c r="K86" s="60" t="str">
        <f t="shared" si="3"/>
        <v/>
      </c>
      <c r="L86" s="33"/>
      <c r="M86" s="56" t="str">
        <f t="array" ref="M86">IF($A86="","",IF(K86="Resolved",IF($H86&lt;&gt;"",IFERROR(INDEX('Bills &amp; Payments Due'!$M$7:$M$500,MATCH($H86,'Bills &amp; Payments Due'!$A$7:$A$500,0)),""),IFERROR(MAXIFS('Daily Transactions'!$A$6:$A$500,'Daily Transactions'!$K$6:$K$500,$O86,'Daily Transactions'!$C$6:$C$500,"Expense"),"")),""))</f>
        <v/>
      </c>
      <c r="N86" s="33"/>
      <c r="O86" s="26" t="str">
        <f t="shared" si="4"/>
        <v/>
      </c>
    </row>
    <row r="87" ht="15.0" customHeight="1">
      <c r="A87" s="29" t="str">
        <f t="shared" si="1"/>
        <v/>
      </c>
      <c r="B87" s="40"/>
      <c r="C87" s="16"/>
      <c r="D87" s="16"/>
      <c r="E87" s="16"/>
      <c r="F87" s="16"/>
      <c r="G87" s="41"/>
      <c r="H87" s="16"/>
      <c r="I87" s="17">
        <f t="array" ref="I87">IF($A87="",0,IF($H87&lt;&gt;"",IFERROR(INDEX('Bills &amp; Payments Due'!$I$7:$I$500,MATCH($H87,'Bills &amp; Payments Due'!$A$7:$A$500,0)),0),SUMIFS('Daily Transactions'!$F$6:$F$500,'Daily Transactions'!$K$6:$K$500,$O87,'Daily Transactions'!$C$6:$C$500,"Expense")))</f>
        <v>0</v>
      </c>
      <c r="J87" s="17" t="str">
        <f t="shared" si="2"/>
        <v/>
      </c>
      <c r="K87" s="29" t="str">
        <f t="shared" si="3"/>
        <v/>
      </c>
      <c r="L87" s="16"/>
      <c r="M87" s="49" t="str">
        <f t="array" ref="M87">IF($A87="","",IF(K87="Resolved",IF($H87&lt;&gt;"",IFERROR(INDEX('Bills &amp; Payments Due'!$M$7:$M$500,MATCH($H87,'Bills &amp; Payments Due'!$A$7:$A$500,0)),""),IFERROR(MAXIFS('Daily Transactions'!$A$6:$A$500,'Daily Transactions'!$K$6:$K$500,$O87,'Daily Transactions'!$C$6:$C$500,"Expense"),"")),""))</f>
        <v/>
      </c>
      <c r="N87" s="16"/>
      <c r="O87" s="26" t="str">
        <f t="shared" si="4"/>
        <v/>
      </c>
    </row>
    <row r="88" ht="15.0" customHeight="1">
      <c r="A88" s="60" t="str">
        <f t="shared" si="1"/>
        <v/>
      </c>
      <c r="B88" s="32"/>
      <c r="C88" s="33"/>
      <c r="D88" s="33"/>
      <c r="E88" s="33"/>
      <c r="F88" s="33"/>
      <c r="G88" s="34"/>
      <c r="H88" s="33"/>
      <c r="I88" s="61">
        <f t="array" ref="I88">IF($A88="",0,IF($H88&lt;&gt;"",IFERROR(INDEX('Bills &amp; Payments Due'!$I$7:$I$500,MATCH($H88,'Bills &amp; Payments Due'!$A$7:$A$500,0)),0),SUMIFS('Daily Transactions'!$F$6:$F$500,'Daily Transactions'!$K$6:$K$500,$O88,'Daily Transactions'!$C$6:$C$500,"Expense")))</f>
        <v>0</v>
      </c>
      <c r="J88" s="61" t="str">
        <f t="shared" si="2"/>
        <v/>
      </c>
      <c r="K88" s="60" t="str">
        <f t="shared" si="3"/>
        <v/>
      </c>
      <c r="L88" s="33"/>
      <c r="M88" s="56" t="str">
        <f t="array" ref="M88">IF($A88="","",IF(K88="Resolved",IF($H88&lt;&gt;"",IFERROR(INDEX('Bills &amp; Payments Due'!$M$7:$M$500,MATCH($H88,'Bills &amp; Payments Due'!$A$7:$A$500,0)),""),IFERROR(MAXIFS('Daily Transactions'!$A$6:$A$500,'Daily Transactions'!$K$6:$K$500,$O88,'Daily Transactions'!$C$6:$C$500,"Expense"),"")),""))</f>
        <v/>
      </c>
      <c r="N88" s="33"/>
      <c r="O88" s="26" t="str">
        <f t="shared" si="4"/>
        <v/>
      </c>
    </row>
    <row r="89" ht="15.0" customHeight="1">
      <c r="A89" s="29" t="str">
        <f t="shared" si="1"/>
        <v/>
      </c>
      <c r="B89" s="40"/>
      <c r="C89" s="16"/>
      <c r="D89" s="16"/>
      <c r="E89" s="16"/>
      <c r="F89" s="16"/>
      <c r="G89" s="41"/>
      <c r="H89" s="16"/>
      <c r="I89" s="17">
        <f t="array" ref="I89">IF($A89="",0,IF($H89&lt;&gt;"",IFERROR(INDEX('Bills &amp; Payments Due'!$I$7:$I$500,MATCH($H89,'Bills &amp; Payments Due'!$A$7:$A$500,0)),0),SUMIFS('Daily Transactions'!$F$6:$F$500,'Daily Transactions'!$K$6:$K$500,$O89,'Daily Transactions'!$C$6:$C$500,"Expense")))</f>
        <v>0</v>
      </c>
      <c r="J89" s="17" t="str">
        <f t="shared" si="2"/>
        <v/>
      </c>
      <c r="K89" s="29" t="str">
        <f t="shared" si="3"/>
        <v/>
      </c>
      <c r="L89" s="16"/>
      <c r="M89" s="49" t="str">
        <f t="array" ref="M89">IF($A89="","",IF(K89="Resolved",IF($H89&lt;&gt;"",IFERROR(INDEX('Bills &amp; Payments Due'!$M$7:$M$500,MATCH($H89,'Bills &amp; Payments Due'!$A$7:$A$500,0)),""),IFERROR(MAXIFS('Daily Transactions'!$A$6:$A$500,'Daily Transactions'!$K$6:$K$500,$O89,'Daily Transactions'!$C$6:$C$500,"Expense"),"")),""))</f>
        <v/>
      </c>
      <c r="N89" s="16"/>
      <c r="O89" s="26" t="str">
        <f t="shared" si="4"/>
        <v/>
      </c>
    </row>
    <row r="90" ht="15.0" customHeight="1">
      <c r="A90" s="60" t="str">
        <f t="shared" si="1"/>
        <v/>
      </c>
      <c r="B90" s="32"/>
      <c r="C90" s="33"/>
      <c r="D90" s="33"/>
      <c r="E90" s="33"/>
      <c r="F90" s="33"/>
      <c r="G90" s="34"/>
      <c r="H90" s="33"/>
      <c r="I90" s="61">
        <f t="array" ref="I90">IF($A90="",0,IF($H90&lt;&gt;"",IFERROR(INDEX('Bills &amp; Payments Due'!$I$7:$I$500,MATCH($H90,'Bills &amp; Payments Due'!$A$7:$A$500,0)),0),SUMIFS('Daily Transactions'!$F$6:$F$500,'Daily Transactions'!$K$6:$K$500,$O90,'Daily Transactions'!$C$6:$C$500,"Expense")))</f>
        <v>0</v>
      </c>
      <c r="J90" s="61" t="str">
        <f t="shared" si="2"/>
        <v/>
      </c>
      <c r="K90" s="60" t="str">
        <f t="shared" si="3"/>
        <v/>
      </c>
      <c r="L90" s="33"/>
      <c r="M90" s="56" t="str">
        <f t="array" ref="M90">IF($A90="","",IF(K90="Resolved",IF($H90&lt;&gt;"",IFERROR(INDEX('Bills &amp; Payments Due'!$M$7:$M$500,MATCH($H90,'Bills &amp; Payments Due'!$A$7:$A$500,0)),""),IFERROR(MAXIFS('Daily Transactions'!$A$6:$A$500,'Daily Transactions'!$K$6:$K$500,$O90,'Daily Transactions'!$C$6:$C$500,"Expense"),"")),""))</f>
        <v/>
      </c>
      <c r="N90" s="33"/>
      <c r="O90" s="26" t="str">
        <f t="shared" si="4"/>
        <v/>
      </c>
    </row>
    <row r="91" ht="15.0" customHeight="1">
      <c r="A91" s="29" t="str">
        <f t="shared" si="1"/>
        <v/>
      </c>
      <c r="B91" s="40"/>
      <c r="C91" s="16"/>
      <c r="D91" s="16"/>
      <c r="E91" s="16"/>
      <c r="F91" s="16"/>
      <c r="G91" s="41"/>
      <c r="H91" s="16"/>
      <c r="I91" s="17">
        <f t="array" ref="I91">IF($A91="",0,IF($H91&lt;&gt;"",IFERROR(INDEX('Bills &amp; Payments Due'!$I$7:$I$500,MATCH($H91,'Bills &amp; Payments Due'!$A$7:$A$500,0)),0),SUMIFS('Daily Transactions'!$F$6:$F$500,'Daily Transactions'!$K$6:$K$500,$O91,'Daily Transactions'!$C$6:$C$500,"Expense")))</f>
        <v>0</v>
      </c>
      <c r="J91" s="17" t="str">
        <f t="shared" si="2"/>
        <v/>
      </c>
      <c r="K91" s="29" t="str">
        <f t="shared" si="3"/>
        <v/>
      </c>
      <c r="L91" s="16"/>
      <c r="M91" s="49" t="str">
        <f t="array" ref="M91">IF($A91="","",IF(K91="Resolved",IF($H91&lt;&gt;"",IFERROR(INDEX('Bills &amp; Payments Due'!$M$7:$M$500,MATCH($H91,'Bills &amp; Payments Due'!$A$7:$A$500,0)),""),IFERROR(MAXIFS('Daily Transactions'!$A$6:$A$500,'Daily Transactions'!$K$6:$K$500,$O91,'Daily Transactions'!$C$6:$C$500,"Expense"),"")),""))</f>
        <v/>
      </c>
      <c r="N91" s="16"/>
      <c r="O91" s="26" t="str">
        <f t="shared" si="4"/>
        <v/>
      </c>
    </row>
    <row r="92" ht="15.0" customHeight="1">
      <c r="A92" s="60" t="str">
        <f t="shared" si="1"/>
        <v/>
      </c>
      <c r="B92" s="32"/>
      <c r="C92" s="33"/>
      <c r="D92" s="33"/>
      <c r="E92" s="33"/>
      <c r="F92" s="33"/>
      <c r="G92" s="34"/>
      <c r="H92" s="33"/>
      <c r="I92" s="61">
        <f t="array" ref="I92">IF($A92="",0,IF($H92&lt;&gt;"",IFERROR(INDEX('Bills &amp; Payments Due'!$I$7:$I$500,MATCH($H92,'Bills &amp; Payments Due'!$A$7:$A$500,0)),0),SUMIFS('Daily Transactions'!$F$6:$F$500,'Daily Transactions'!$K$6:$K$500,$O92,'Daily Transactions'!$C$6:$C$500,"Expense")))</f>
        <v>0</v>
      </c>
      <c r="J92" s="61" t="str">
        <f t="shared" si="2"/>
        <v/>
      </c>
      <c r="K92" s="60" t="str">
        <f t="shared" si="3"/>
        <v/>
      </c>
      <c r="L92" s="33"/>
      <c r="M92" s="56" t="str">
        <f t="array" ref="M92">IF($A92="","",IF(K92="Resolved",IF($H92&lt;&gt;"",IFERROR(INDEX('Bills &amp; Payments Due'!$M$7:$M$500,MATCH($H92,'Bills &amp; Payments Due'!$A$7:$A$500,0)),""),IFERROR(MAXIFS('Daily Transactions'!$A$6:$A$500,'Daily Transactions'!$K$6:$K$500,$O92,'Daily Transactions'!$C$6:$C$500,"Expense"),"")),""))</f>
        <v/>
      </c>
      <c r="N92" s="33"/>
      <c r="O92" s="26" t="str">
        <f t="shared" si="4"/>
        <v/>
      </c>
    </row>
    <row r="93" ht="15.0" customHeight="1">
      <c r="A93" s="29" t="str">
        <f t="shared" si="1"/>
        <v/>
      </c>
      <c r="B93" s="40"/>
      <c r="C93" s="16"/>
      <c r="D93" s="16"/>
      <c r="E93" s="16"/>
      <c r="F93" s="16"/>
      <c r="G93" s="41"/>
      <c r="H93" s="16"/>
      <c r="I93" s="17">
        <f t="array" ref="I93">IF($A93="",0,IF($H93&lt;&gt;"",IFERROR(INDEX('Bills &amp; Payments Due'!$I$7:$I$500,MATCH($H93,'Bills &amp; Payments Due'!$A$7:$A$500,0)),0),SUMIFS('Daily Transactions'!$F$6:$F$500,'Daily Transactions'!$K$6:$K$500,$O93,'Daily Transactions'!$C$6:$C$500,"Expense")))</f>
        <v>0</v>
      </c>
      <c r="J93" s="17" t="str">
        <f t="shared" si="2"/>
        <v/>
      </c>
      <c r="K93" s="29" t="str">
        <f t="shared" si="3"/>
        <v/>
      </c>
      <c r="L93" s="16"/>
      <c r="M93" s="49" t="str">
        <f t="array" ref="M93">IF($A93="","",IF(K93="Resolved",IF($H93&lt;&gt;"",IFERROR(INDEX('Bills &amp; Payments Due'!$M$7:$M$500,MATCH($H93,'Bills &amp; Payments Due'!$A$7:$A$500,0)),""),IFERROR(MAXIFS('Daily Transactions'!$A$6:$A$500,'Daily Transactions'!$K$6:$K$500,$O93,'Daily Transactions'!$C$6:$C$500,"Expense"),"")),""))</f>
        <v/>
      </c>
      <c r="N93" s="16"/>
      <c r="O93" s="26" t="str">
        <f t="shared" si="4"/>
        <v/>
      </c>
    </row>
    <row r="94" ht="15.0" customHeight="1">
      <c r="A94" s="60" t="str">
        <f t="shared" si="1"/>
        <v/>
      </c>
      <c r="B94" s="32"/>
      <c r="C94" s="33"/>
      <c r="D94" s="33"/>
      <c r="E94" s="33"/>
      <c r="F94" s="33"/>
      <c r="G94" s="34"/>
      <c r="H94" s="33"/>
      <c r="I94" s="61">
        <f t="array" ref="I94">IF($A94="",0,IF($H94&lt;&gt;"",IFERROR(INDEX('Bills &amp; Payments Due'!$I$7:$I$500,MATCH($H94,'Bills &amp; Payments Due'!$A$7:$A$500,0)),0),SUMIFS('Daily Transactions'!$F$6:$F$500,'Daily Transactions'!$K$6:$K$500,$O94,'Daily Transactions'!$C$6:$C$500,"Expense")))</f>
        <v>0</v>
      </c>
      <c r="J94" s="61" t="str">
        <f t="shared" si="2"/>
        <v/>
      </c>
      <c r="K94" s="60" t="str">
        <f t="shared" si="3"/>
        <v/>
      </c>
      <c r="L94" s="33"/>
      <c r="M94" s="56" t="str">
        <f t="array" ref="M94">IF($A94="","",IF(K94="Resolved",IF($H94&lt;&gt;"",IFERROR(INDEX('Bills &amp; Payments Due'!$M$7:$M$500,MATCH($H94,'Bills &amp; Payments Due'!$A$7:$A$500,0)),""),IFERROR(MAXIFS('Daily Transactions'!$A$6:$A$500,'Daily Transactions'!$K$6:$K$500,$O94,'Daily Transactions'!$C$6:$C$500,"Expense"),"")),""))</f>
        <v/>
      </c>
      <c r="N94" s="33"/>
      <c r="O94" s="26" t="str">
        <f t="shared" si="4"/>
        <v/>
      </c>
    </row>
    <row r="95" ht="15.0" customHeight="1">
      <c r="A95" s="29" t="str">
        <f t="shared" si="1"/>
        <v/>
      </c>
      <c r="B95" s="40"/>
      <c r="C95" s="16"/>
      <c r="D95" s="16"/>
      <c r="E95" s="16"/>
      <c r="F95" s="16"/>
      <c r="G95" s="41"/>
      <c r="H95" s="16"/>
      <c r="I95" s="17">
        <f t="array" ref="I95">IF($A95="",0,IF($H95&lt;&gt;"",IFERROR(INDEX('Bills &amp; Payments Due'!$I$7:$I$500,MATCH($H95,'Bills &amp; Payments Due'!$A$7:$A$500,0)),0),SUMIFS('Daily Transactions'!$F$6:$F$500,'Daily Transactions'!$K$6:$K$500,$O95,'Daily Transactions'!$C$6:$C$500,"Expense")))</f>
        <v>0</v>
      </c>
      <c r="J95" s="17" t="str">
        <f t="shared" si="2"/>
        <v/>
      </c>
      <c r="K95" s="29" t="str">
        <f t="shared" si="3"/>
        <v/>
      </c>
      <c r="L95" s="16"/>
      <c r="M95" s="49" t="str">
        <f t="array" ref="M95">IF($A95="","",IF(K95="Resolved",IF($H95&lt;&gt;"",IFERROR(INDEX('Bills &amp; Payments Due'!$M$7:$M$500,MATCH($H95,'Bills &amp; Payments Due'!$A$7:$A$500,0)),""),IFERROR(MAXIFS('Daily Transactions'!$A$6:$A$500,'Daily Transactions'!$K$6:$K$500,$O95,'Daily Transactions'!$C$6:$C$500,"Expense"),"")),""))</f>
        <v/>
      </c>
      <c r="N95" s="16"/>
      <c r="O95" s="26" t="str">
        <f t="shared" si="4"/>
        <v/>
      </c>
    </row>
    <row r="96" ht="15.0" customHeight="1">
      <c r="A96" s="60" t="str">
        <f t="shared" si="1"/>
        <v/>
      </c>
      <c r="B96" s="32"/>
      <c r="C96" s="33"/>
      <c r="D96" s="33"/>
      <c r="E96" s="33"/>
      <c r="F96" s="33"/>
      <c r="G96" s="34"/>
      <c r="H96" s="33"/>
      <c r="I96" s="61">
        <f t="array" ref="I96">IF($A96="",0,IF($H96&lt;&gt;"",IFERROR(INDEX('Bills &amp; Payments Due'!$I$7:$I$500,MATCH($H96,'Bills &amp; Payments Due'!$A$7:$A$500,0)),0),SUMIFS('Daily Transactions'!$F$6:$F$500,'Daily Transactions'!$K$6:$K$500,$O96,'Daily Transactions'!$C$6:$C$500,"Expense")))</f>
        <v>0</v>
      </c>
      <c r="J96" s="61" t="str">
        <f t="shared" si="2"/>
        <v/>
      </c>
      <c r="K96" s="60" t="str">
        <f t="shared" si="3"/>
        <v/>
      </c>
      <c r="L96" s="33"/>
      <c r="M96" s="56" t="str">
        <f t="array" ref="M96">IF($A96="","",IF(K96="Resolved",IF($H96&lt;&gt;"",IFERROR(INDEX('Bills &amp; Payments Due'!$M$7:$M$500,MATCH($H96,'Bills &amp; Payments Due'!$A$7:$A$500,0)),""),IFERROR(MAXIFS('Daily Transactions'!$A$6:$A$500,'Daily Transactions'!$K$6:$K$500,$O96,'Daily Transactions'!$C$6:$C$500,"Expense"),"")),""))</f>
        <v/>
      </c>
      <c r="N96" s="33"/>
      <c r="O96" s="26" t="str">
        <f t="shared" si="4"/>
        <v/>
      </c>
    </row>
    <row r="97" ht="15.0" customHeight="1">
      <c r="A97" s="29" t="str">
        <f t="shared" si="1"/>
        <v/>
      </c>
      <c r="B97" s="40"/>
      <c r="C97" s="16"/>
      <c r="D97" s="16"/>
      <c r="E97" s="16"/>
      <c r="F97" s="16"/>
      <c r="G97" s="41"/>
      <c r="H97" s="16"/>
      <c r="I97" s="17">
        <f t="array" ref="I97">IF($A97="",0,IF($H97&lt;&gt;"",IFERROR(INDEX('Bills &amp; Payments Due'!$I$7:$I$500,MATCH($H97,'Bills &amp; Payments Due'!$A$7:$A$500,0)),0),SUMIFS('Daily Transactions'!$F$6:$F$500,'Daily Transactions'!$K$6:$K$500,$O97,'Daily Transactions'!$C$6:$C$500,"Expense")))</f>
        <v>0</v>
      </c>
      <c r="J97" s="17" t="str">
        <f t="shared" si="2"/>
        <v/>
      </c>
      <c r="K97" s="29" t="str">
        <f t="shared" si="3"/>
        <v/>
      </c>
      <c r="L97" s="16"/>
      <c r="M97" s="49" t="str">
        <f t="array" ref="M97">IF($A97="","",IF(K97="Resolved",IF($H97&lt;&gt;"",IFERROR(INDEX('Bills &amp; Payments Due'!$M$7:$M$500,MATCH($H97,'Bills &amp; Payments Due'!$A$7:$A$500,0)),""),IFERROR(MAXIFS('Daily Transactions'!$A$6:$A$500,'Daily Transactions'!$K$6:$K$500,$O97,'Daily Transactions'!$C$6:$C$500,"Expense"),"")),""))</f>
        <v/>
      </c>
      <c r="N97" s="16"/>
      <c r="O97" s="26" t="str">
        <f t="shared" si="4"/>
        <v/>
      </c>
    </row>
    <row r="98" ht="15.0" customHeight="1">
      <c r="A98" s="60" t="str">
        <f t="shared" si="1"/>
        <v/>
      </c>
      <c r="B98" s="32"/>
      <c r="C98" s="33"/>
      <c r="D98" s="33"/>
      <c r="E98" s="33"/>
      <c r="F98" s="33"/>
      <c r="G98" s="34"/>
      <c r="H98" s="33"/>
      <c r="I98" s="61">
        <f t="array" ref="I98">IF($A98="",0,IF($H98&lt;&gt;"",IFERROR(INDEX('Bills &amp; Payments Due'!$I$7:$I$500,MATCH($H98,'Bills &amp; Payments Due'!$A$7:$A$500,0)),0),SUMIFS('Daily Transactions'!$F$6:$F$500,'Daily Transactions'!$K$6:$K$500,$O98,'Daily Transactions'!$C$6:$C$500,"Expense")))</f>
        <v>0</v>
      </c>
      <c r="J98" s="61" t="str">
        <f t="shared" si="2"/>
        <v/>
      </c>
      <c r="K98" s="60" t="str">
        <f t="shared" si="3"/>
        <v/>
      </c>
      <c r="L98" s="33"/>
      <c r="M98" s="56" t="str">
        <f t="array" ref="M98">IF($A98="","",IF(K98="Resolved",IF($H98&lt;&gt;"",IFERROR(INDEX('Bills &amp; Payments Due'!$M$7:$M$500,MATCH($H98,'Bills &amp; Payments Due'!$A$7:$A$500,0)),""),IFERROR(MAXIFS('Daily Transactions'!$A$6:$A$500,'Daily Transactions'!$K$6:$K$500,$O98,'Daily Transactions'!$C$6:$C$500,"Expense"),"")),""))</f>
        <v/>
      </c>
      <c r="N98" s="33"/>
      <c r="O98" s="26" t="str">
        <f t="shared" si="4"/>
        <v/>
      </c>
    </row>
    <row r="99" ht="15.0" customHeight="1">
      <c r="A99" s="29" t="str">
        <f t="shared" si="1"/>
        <v/>
      </c>
      <c r="B99" s="40"/>
      <c r="C99" s="16"/>
      <c r="D99" s="16"/>
      <c r="E99" s="16"/>
      <c r="F99" s="16"/>
      <c r="G99" s="41"/>
      <c r="H99" s="16"/>
      <c r="I99" s="17">
        <f t="array" ref="I99">IF($A99="",0,IF($H99&lt;&gt;"",IFERROR(INDEX('Bills &amp; Payments Due'!$I$7:$I$500,MATCH($H99,'Bills &amp; Payments Due'!$A$7:$A$500,0)),0),SUMIFS('Daily Transactions'!$F$6:$F$500,'Daily Transactions'!$K$6:$K$500,$O99,'Daily Transactions'!$C$6:$C$500,"Expense")))</f>
        <v>0</v>
      </c>
      <c r="J99" s="17" t="str">
        <f t="shared" si="2"/>
        <v/>
      </c>
      <c r="K99" s="29" t="str">
        <f t="shared" si="3"/>
        <v/>
      </c>
      <c r="L99" s="16"/>
      <c r="M99" s="49" t="str">
        <f t="array" ref="M99">IF($A99="","",IF(K99="Resolved",IF($H99&lt;&gt;"",IFERROR(INDEX('Bills &amp; Payments Due'!$M$7:$M$500,MATCH($H99,'Bills &amp; Payments Due'!$A$7:$A$500,0)),""),IFERROR(MAXIFS('Daily Transactions'!$A$6:$A$500,'Daily Transactions'!$K$6:$K$500,$O99,'Daily Transactions'!$C$6:$C$500,"Expense"),"")),""))</f>
        <v/>
      </c>
      <c r="N99" s="16"/>
      <c r="O99" s="26" t="str">
        <f t="shared" si="4"/>
        <v/>
      </c>
    </row>
    <row r="100" ht="15.0" customHeight="1">
      <c r="A100" s="60" t="str">
        <f t="shared" si="1"/>
        <v/>
      </c>
      <c r="B100" s="32"/>
      <c r="C100" s="33"/>
      <c r="D100" s="33"/>
      <c r="E100" s="33"/>
      <c r="F100" s="33"/>
      <c r="G100" s="34"/>
      <c r="H100" s="33"/>
      <c r="I100" s="61">
        <f t="array" ref="I100">IF($A100="",0,IF($H100&lt;&gt;"",IFERROR(INDEX('Bills &amp; Payments Due'!$I$7:$I$500,MATCH($H100,'Bills &amp; Payments Due'!$A$7:$A$500,0)),0),SUMIFS('Daily Transactions'!$F$6:$F$500,'Daily Transactions'!$K$6:$K$500,$O100,'Daily Transactions'!$C$6:$C$500,"Expense")))</f>
        <v>0</v>
      </c>
      <c r="J100" s="61" t="str">
        <f t="shared" si="2"/>
        <v/>
      </c>
      <c r="K100" s="60" t="str">
        <f t="shared" si="3"/>
        <v/>
      </c>
      <c r="L100" s="33"/>
      <c r="M100" s="56" t="str">
        <f t="array" ref="M100">IF($A100="","",IF(K100="Resolved",IF($H100&lt;&gt;"",IFERROR(INDEX('Bills &amp; Payments Due'!$M$7:$M$500,MATCH($H100,'Bills &amp; Payments Due'!$A$7:$A$500,0)),""),IFERROR(MAXIFS('Daily Transactions'!$A$6:$A$500,'Daily Transactions'!$K$6:$K$500,$O100,'Daily Transactions'!$C$6:$C$500,"Expense"),"")),""))</f>
        <v/>
      </c>
      <c r="N100" s="33"/>
      <c r="O100" s="26" t="str">
        <f t="shared" si="4"/>
        <v/>
      </c>
    </row>
    <row r="101" ht="15.0" customHeight="1">
      <c r="A101" s="29" t="str">
        <f t="shared" si="1"/>
        <v/>
      </c>
      <c r="B101" s="40"/>
      <c r="C101" s="16"/>
      <c r="D101" s="16"/>
      <c r="E101" s="16"/>
      <c r="F101" s="16"/>
      <c r="G101" s="41"/>
      <c r="H101" s="16"/>
      <c r="I101" s="17">
        <f t="array" ref="I101">IF($A101="",0,IF($H101&lt;&gt;"",IFERROR(INDEX('Bills &amp; Payments Due'!$I$7:$I$500,MATCH($H101,'Bills &amp; Payments Due'!$A$7:$A$500,0)),0),SUMIFS('Daily Transactions'!$F$6:$F$500,'Daily Transactions'!$K$6:$K$500,$O101,'Daily Transactions'!$C$6:$C$500,"Expense")))</f>
        <v>0</v>
      </c>
      <c r="J101" s="17" t="str">
        <f t="shared" si="2"/>
        <v/>
      </c>
      <c r="K101" s="29" t="str">
        <f t="shared" si="3"/>
        <v/>
      </c>
      <c r="L101" s="16"/>
      <c r="M101" s="49" t="str">
        <f t="array" ref="M101">IF($A101="","",IF(K101="Resolved",IF($H101&lt;&gt;"",IFERROR(INDEX('Bills &amp; Payments Due'!$M$7:$M$500,MATCH($H101,'Bills &amp; Payments Due'!$A$7:$A$500,0)),""),IFERROR(MAXIFS('Daily Transactions'!$A$6:$A$500,'Daily Transactions'!$K$6:$K$500,$O101,'Daily Transactions'!$C$6:$C$500,"Expense"),"")),""))</f>
        <v/>
      </c>
      <c r="N101" s="16"/>
      <c r="O101" s="26" t="str">
        <f t="shared" si="4"/>
        <v/>
      </c>
    </row>
    <row r="102" ht="15.0" customHeight="1">
      <c r="A102" s="60" t="str">
        <f t="shared" si="1"/>
        <v/>
      </c>
      <c r="B102" s="32"/>
      <c r="C102" s="33"/>
      <c r="D102" s="33"/>
      <c r="E102" s="33"/>
      <c r="F102" s="33"/>
      <c r="G102" s="34"/>
      <c r="H102" s="33"/>
      <c r="I102" s="61">
        <f t="array" ref="I102">IF($A102="",0,IF($H102&lt;&gt;"",IFERROR(INDEX('Bills &amp; Payments Due'!$I$7:$I$500,MATCH($H102,'Bills &amp; Payments Due'!$A$7:$A$500,0)),0),SUMIFS('Daily Transactions'!$F$6:$F$500,'Daily Transactions'!$K$6:$K$500,$O102,'Daily Transactions'!$C$6:$C$500,"Expense")))</f>
        <v>0</v>
      </c>
      <c r="J102" s="61" t="str">
        <f t="shared" si="2"/>
        <v/>
      </c>
      <c r="K102" s="60" t="str">
        <f t="shared" si="3"/>
        <v/>
      </c>
      <c r="L102" s="33"/>
      <c r="M102" s="56" t="str">
        <f t="array" ref="M102">IF($A102="","",IF(K102="Resolved",IF($H102&lt;&gt;"",IFERROR(INDEX('Bills &amp; Payments Due'!$M$7:$M$500,MATCH($H102,'Bills &amp; Payments Due'!$A$7:$A$500,0)),""),IFERROR(MAXIFS('Daily Transactions'!$A$6:$A$500,'Daily Transactions'!$K$6:$K$500,$O102,'Daily Transactions'!$C$6:$C$500,"Expense"),"")),""))</f>
        <v/>
      </c>
      <c r="N102" s="33"/>
      <c r="O102" s="26" t="str">
        <f t="shared" si="4"/>
        <v/>
      </c>
    </row>
    <row r="103" ht="15.0" customHeight="1">
      <c r="A103" s="29" t="str">
        <f t="shared" si="1"/>
        <v/>
      </c>
      <c r="B103" s="40"/>
      <c r="C103" s="16"/>
      <c r="D103" s="16"/>
      <c r="E103" s="16"/>
      <c r="F103" s="16"/>
      <c r="G103" s="41"/>
      <c r="H103" s="16"/>
      <c r="I103" s="17">
        <f t="array" ref="I103">IF($A103="",0,IF($H103&lt;&gt;"",IFERROR(INDEX('Bills &amp; Payments Due'!$I$7:$I$500,MATCH($H103,'Bills &amp; Payments Due'!$A$7:$A$500,0)),0),SUMIFS('Daily Transactions'!$F$6:$F$500,'Daily Transactions'!$K$6:$K$500,$O103,'Daily Transactions'!$C$6:$C$500,"Expense")))</f>
        <v>0</v>
      </c>
      <c r="J103" s="17" t="str">
        <f t="shared" si="2"/>
        <v/>
      </c>
      <c r="K103" s="29" t="str">
        <f t="shared" si="3"/>
        <v/>
      </c>
      <c r="L103" s="16"/>
      <c r="M103" s="49" t="str">
        <f t="array" ref="M103">IF($A103="","",IF(K103="Resolved",IF($H103&lt;&gt;"",IFERROR(INDEX('Bills &amp; Payments Due'!$M$7:$M$500,MATCH($H103,'Bills &amp; Payments Due'!$A$7:$A$500,0)),""),IFERROR(MAXIFS('Daily Transactions'!$A$6:$A$500,'Daily Transactions'!$K$6:$K$500,$O103,'Daily Transactions'!$C$6:$C$500,"Expense"),"")),""))</f>
        <v/>
      </c>
      <c r="N103" s="16"/>
      <c r="O103" s="26" t="str">
        <f t="shared" si="4"/>
        <v/>
      </c>
    </row>
    <row r="104" ht="15.0" customHeight="1">
      <c r="A104" s="60" t="str">
        <f t="shared" si="1"/>
        <v/>
      </c>
      <c r="B104" s="32"/>
      <c r="C104" s="33"/>
      <c r="D104" s="33"/>
      <c r="E104" s="33"/>
      <c r="F104" s="33"/>
      <c r="G104" s="34"/>
      <c r="H104" s="33"/>
      <c r="I104" s="61">
        <f t="array" ref="I104">IF($A104="",0,IF($H104&lt;&gt;"",IFERROR(INDEX('Bills &amp; Payments Due'!$I$7:$I$500,MATCH($H104,'Bills &amp; Payments Due'!$A$7:$A$500,0)),0),SUMIFS('Daily Transactions'!$F$6:$F$500,'Daily Transactions'!$K$6:$K$500,$O104,'Daily Transactions'!$C$6:$C$500,"Expense")))</f>
        <v>0</v>
      </c>
      <c r="J104" s="61" t="str">
        <f t="shared" si="2"/>
        <v/>
      </c>
      <c r="K104" s="60" t="str">
        <f t="shared" si="3"/>
        <v/>
      </c>
      <c r="L104" s="33"/>
      <c r="M104" s="56" t="str">
        <f t="array" ref="M104">IF($A104="","",IF(K104="Resolved",IF($H104&lt;&gt;"",IFERROR(INDEX('Bills &amp; Payments Due'!$M$7:$M$500,MATCH($H104,'Bills &amp; Payments Due'!$A$7:$A$500,0)),""),IFERROR(MAXIFS('Daily Transactions'!$A$6:$A$500,'Daily Transactions'!$K$6:$K$500,$O104,'Daily Transactions'!$C$6:$C$500,"Expense"),"")),""))</f>
        <v/>
      </c>
      <c r="N104" s="33"/>
      <c r="O104" s="26" t="str">
        <f t="shared" si="4"/>
        <v/>
      </c>
    </row>
    <row r="105" ht="15.0" customHeight="1">
      <c r="A105" s="29" t="str">
        <f t="shared" si="1"/>
        <v/>
      </c>
      <c r="B105" s="40"/>
      <c r="C105" s="16"/>
      <c r="D105" s="16"/>
      <c r="E105" s="16"/>
      <c r="F105" s="16"/>
      <c r="G105" s="41"/>
      <c r="H105" s="16"/>
      <c r="I105" s="17">
        <f t="array" ref="I105">IF($A105="",0,IF($H105&lt;&gt;"",IFERROR(INDEX('Bills &amp; Payments Due'!$I$7:$I$500,MATCH($H105,'Bills &amp; Payments Due'!$A$7:$A$500,0)),0),SUMIFS('Daily Transactions'!$F$6:$F$500,'Daily Transactions'!$K$6:$K$500,$O105,'Daily Transactions'!$C$6:$C$500,"Expense")))</f>
        <v>0</v>
      </c>
      <c r="J105" s="17" t="str">
        <f t="shared" si="2"/>
        <v/>
      </c>
      <c r="K105" s="29" t="str">
        <f t="shared" si="3"/>
        <v/>
      </c>
      <c r="L105" s="16"/>
      <c r="M105" s="49" t="str">
        <f t="array" ref="M105">IF($A105="","",IF(K105="Resolved",IF($H105&lt;&gt;"",IFERROR(INDEX('Bills &amp; Payments Due'!$M$7:$M$500,MATCH($H105,'Bills &amp; Payments Due'!$A$7:$A$500,0)),""),IFERROR(MAXIFS('Daily Transactions'!$A$6:$A$500,'Daily Transactions'!$K$6:$K$500,$O105,'Daily Transactions'!$C$6:$C$500,"Expense"),"")),""))</f>
        <v/>
      </c>
      <c r="N105" s="16"/>
      <c r="O105" s="26" t="str">
        <f t="shared" si="4"/>
        <v/>
      </c>
    </row>
    <row r="106" ht="15.0" customHeight="1">
      <c r="A106" s="60" t="str">
        <f t="shared" si="1"/>
        <v/>
      </c>
      <c r="B106" s="32"/>
      <c r="C106" s="33"/>
      <c r="D106" s="33"/>
      <c r="E106" s="33"/>
      <c r="F106" s="33"/>
      <c r="G106" s="34"/>
      <c r="H106" s="33"/>
      <c r="I106" s="61">
        <f t="array" ref="I106">IF($A106="",0,IF($H106&lt;&gt;"",IFERROR(INDEX('Bills &amp; Payments Due'!$I$7:$I$500,MATCH($H106,'Bills &amp; Payments Due'!$A$7:$A$500,0)),0),SUMIFS('Daily Transactions'!$F$6:$F$500,'Daily Transactions'!$K$6:$K$500,$O106,'Daily Transactions'!$C$6:$C$500,"Expense")))</f>
        <v>0</v>
      </c>
      <c r="J106" s="61" t="str">
        <f t="shared" si="2"/>
        <v/>
      </c>
      <c r="K106" s="60" t="str">
        <f t="shared" si="3"/>
        <v/>
      </c>
      <c r="L106" s="33"/>
      <c r="M106" s="56" t="str">
        <f t="array" ref="M106">IF($A106="","",IF(K106="Resolved",IF($H106&lt;&gt;"",IFERROR(INDEX('Bills &amp; Payments Due'!$M$7:$M$500,MATCH($H106,'Bills &amp; Payments Due'!$A$7:$A$500,0)),""),IFERROR(MAXIFS('Daily Transactions'!$A$6:$A$500,'Daily Transactions'!$K$6:$K$500,$O106,'Daily Transactions'!$C$6:$C$500,"Expense"),"")),""))</f>
        <v/>
      </c>
      <c r="N106" s="33"/>
      <c r="O106" s="26" t="str">
        <f t="shared" si="4"/>
        <v/>
      </c>
    </row>
    <row r="107" ht="15.0" customHeight="1">
      <c r="A107" s="29" t="str">
        <f t="shared" si="1"/>
        <v/>
      </c>
      <c r="B107" s="40"/>
      <c r="C107" s="16"/>
      <c r="D107" s="16"/>
      <c r="E107" s="16"/>
      <c r="F107" s="16"/>
      <c r="G107" s="41"/>
      <c r="H107" s="16"/>
      <c r="I107" s="17">
        <f t="array" ref="I107">IF($A107="",0,IF($H107&lt;&gt;"",IFERROR(INDEX('Bills &amp; Payments Due'!$I$7:$I$500,MATCH($H107,'Bills &amp; Payments Due'!$A$7:$A$500,0)),0),SUMIFS('Daily Transactions'!$F$6:$F$500,'Daily Transactions'!$K$6:$K$500,$O107,'Daily Transactions'!$C$6:$C$500,"Expense")))</f>
        <v>0</v>
      </c>
      <c r="J107" s="17" t="str">
        <f t="shared" si="2"/>
        <v/>
      </c>
      <c r="K107" s="29" t="str">
        <f t="shared" si="3"/>
        <v/>
      </c>
      <c r="L107" s="16"/>
      <c r="M107" s="49" t="str">
        <f t="array" ref="M107">IF($A107="","",IF(K107="Resolved",IF($H107&lt;&gt;"",IFERROR(INDEX('Bills &amp; Payments Due'!$M$7:$M$500,MATCH($H107,'Bills &amp; Payments Due'!$A$7:$A$500,0)),""),IFERROR(MAXIFS('Daily Transactions'!$A$6:$A$500,'Daily Transactions'!$K$6:$K$500,$O107,'Daily Transactions'!$C$6:$C$500,"Expense"),"")),""))</f>
        <v/>
      </c>
      <c r="N107" s="16"/>
      <c r="O107" s="26" t="str">
        <f t="shared" si="4"/>
        <v/>
      </c>
    </row>
    <row r="108" ht="15.0" customHeight="1">
      <c r="A108" s="60" t="str">
        <f t="shared" si="1"/>
        <v/>
      </c>
      <c r="B108" s="32"/>
      <c r="C108" s="33"/>
      <c r="D108" s="33"/>
      <c r="E108" s="33"/>
      <c r="F108" s="33"/>
      <c r="G108" s="34"/>
      <c r="H108" s="33"/>
      <c r="I108" s="61">
        <f t="array" ref="I108">IF($A108="",0,IF($H108&lt;&gt;"",IFERROR(INDEX('Bills &amp; Payments Due'!$I$7:$I$500,MATCH($H108,'Bills &amp; Payments Due'!$A$7:$A$500,0)),0),SUMIFS('Daily Transactions'!$F$6:$F$500,'Daily Transactions'!$K$6:$K$500,$O108,'Daily Transactions'!$C$6:$C$500,"Expense")))</f>
        <v>0</v>
      </c>
      <c r="J108" s="61" t="str">
        <f t="shared" si="2"/>
        <v/>
      </c>
      <c r="K108" s="60" t="str">
        <f t="shared" si="3"/>
        <v/>
      </c>
      <c r="L108" s="33"/>
      <c r="M108" s="56" t="str">
        <f t="array" ref="M108">IF($A108="","",IF(K108="Resolved",IF($H108&lt;&gt;"",IFERROR(INDEX('Bills &amp; Payments Due'!$M$7:$M$500,MATCH($H108,'Bills &amp; Payments Due'!$A$7:$A$500,0)),""),IFERROR(MAXIFS('Daily Transactions'!$A$6:$A$500,'Daily Transactions'!$K$6:$K$500,$O108,'Daily Transactions'!$C$6:$C$500,"Expense"),"")),""))</f>
        <v/>
      </c>
      <c r="N108" s="33"/>
      <c r="O108" s="26" t="str">
        <f t="shared" si="4"/>
        <v/>
      </c>
    </row>
    <row r="109" ht="15.0" customHeight="1">
      <c r="A109" s="29" t="str">
        <f t="shared" si="1"/>
        <v/>
      </c>
      <c r="B109" s="40"/>
      <c r="C109" s="16"/>
      <c r="D109" s="16"/>
      <c r="E109" s="16"/>
      <c r="F109" s="16"/>
      <c r="G109" s="41"/>
      <c r="H109" s="16"/>
      <c r="I109" s="17">
        <f t="array" ref="I109">IF($A109="",0,IF($H109&lt;&gt;"",IFERROR(INDEX('Bills &amp; Payments Due'!$I$7:$I$500,MATCH($H109,'Bills &amp; Payments Due'!$A$7:$A$500,0)),0),SUMIFS('Daily Transactions'!$F$6:$F$500,'Daily Transactions'!$K$6:$K$500,$O109,'Daily Transactions'!$C$6:$C$500,"Expense")))</f>
        <v>0</v>
      </c>
      <c r="J109" s="17" t="str">
        <f t="shared" si="2"/>
        <v/>
      </c>
      <c r="K109" s="29" t="str">
        <f t="shared" si="3"/>
        <v/>
      </c>
      <c r="L109" s="16"/>
      <c r="M109" s="49" t="str">
        <f t="array" ref="M109">IF($A109="","",IF(K109="Resolved",IF($H109&lt;&gt;"",IFERROR(INDEX('Bills &amp; Payments Due'!$M$7:$M$500,MATCH($H109,'Bills &amp; Payments Due'!$A$7:$A$500,0)),""),IFERROR(MAXIFS('Daily Transactions'!$A$6:$A$500,'Daily Transactions'!$K$6:$K$500,$O109,'Daily Transactions'!$C$6:$C$500,"Expense"),"")),""))</f>
        <v/>
      </c>
      <c r="N109" s="16"/>
      <c r="O109" s="26" t="str">
        <f t="shared" si="4"/>
        <v/>
      </c>
    </row>
    <row r="110" ht="15.0" customHeight="1">
      <c r="A110" s="60" t="str">
        <f t="shared" si="1"/>
        <v/>
      </c>
      <c r="B110" s="32"/>
      <c r="C110" s="33"/>
      <c r="D110" s="33"/>
      <c r="E110" s="33"/>
      <c r="F110" s="33"/>
      <c r="G110" s="34"/>
      <c r="H110" s="33"/>
      <c r="I110" s="61">
        <f t="array" ref="I110">IF($A110="",0,IF($H110&lt;&gt;"",IFERROR(INDEX('Bills &amp; Payments Due'!$I$7:$I$500,MATCH($H110,'Bills &amp; Payments Due'!$A$7:$A$500,0)),0),SUMIFS('Daily Transactions'!$F$6:$F$500,'Daily Transactions'!$K$6:$K$500,$O110,'Daily Transactions'!$C$6:$C$500,"Expense")))</f>
        <v>0</v>
      </c>
      <c r="J110" s="61" t="str">
        <f t="shared" si="2"/>
        <v/>
      </c>
      <c r="K110" s="60" t="str">
        <f t="shared" si="3"/>
        <v/>
      </c>
      <c r="L110" s="33"/>
      <c r="M110" s="56" t="str">
        <f t="array" ref="M110">IF($A110="","",IF(K110="Resolved",IF($H110&lt;&gt;"",IFERROR(INDEX('Bills &amp; Payments Due'!$M$7:$M$500,MATCH($H110,'Bills &amp; Payments Due'!$A$7:$A$500,0)),""),IFERROR(MAXIFS('Daily Transactions'!$A$6:$A$500,'Daily Transactions'!$K$6:$K$500,$O110,'Daily Transactions'!$C$6:$C$500,"Expense"),"")),""))</f>
        <v/>
      </c>
      <c r="N110" s="33"/>
      <c r="O110" s="26" t="str">
        <f t="shared" si="4"/>
        <v/>
      </c>
    </row>
    <row r="111" ht="15.0" customHeight="1">
      <c r="A111" s="29" t="str">
        <f t="shared" si="1"/>
        <v/>
      </c>
      <c r="B111" s="40"/>
      <c r="C111" s="16"/>
      <c r="D111" s="16"/>
      <c r="E111" s="16"/>
      <c r="F111" s="16"/>
      <c r="G111" s="41"/>
      <c r="H111" s="16"/>
      <c r="I111" s="17">
        <f t="array" ref="I111">IF($A111="",0,IF($H111&lt;&gt;"",IFERROR(INDEX('Bills &amp; Payments Due'!$I$7:$I$500,MATCH($H111,'Bills &amp; Payments Due'!$A$7:$A$500,0)),0),SUMIFS('Daily Transactions'!$F$6:$F$500,'Daily Transactions'!$K$6:$K$500,$O111,'Daily Transactions'!$C$6:$C$500,"Expense")))</f>
        <v>0</v>
      </c>
      <c r="J111" s="17" t="str">
        <f t="shared" si="2"/>
        <v/>
      </c>
      <c r="K111" s="29" t="str">
        <f t="shared" si="3"/>
        <v/>
      </c>
      <c r="L111" s="16"/>
      <c r="M111" s="49" t="str">
        <f t="array" ref="M111">IF($A111="","",IF(K111="Resolved",IF($H111&lt;&gt;"",IFERROR(INDEX('Bills &amp; Payments Due'!$M$7:$M$500,MATCH($H111,'Bills &amp; Payments Due'!$A$7:$A$500,0)),""),IFERROR(MAXIFS('Daily Transactions'!$A$6:$A$500,'Daily Transactions'!$K$6:$K$500,$O111,'Daily Transactions'!$C$6:$C$500,"Expense"),"")),""))</f>
        <v/>
      </c>
      <c r="N111" s="16"/>
      <c r="O111" s="26" t="str">
        <f t="shared" si="4"/>
        <v/>
      </c>
    </row>
    <row r="112" ht="15.0" customHeight="1">
      <c r="A112" s="60" t="str">
        <f t="shared" si="1"/>
        <v/>
      </c>
      <c r="B112" s="32"/>
      <c r="C112" s="33"/>
      <c r="D112" s="33"/>
      <c r="E112" s="33"/>
      <c r="F112" s="33"/>
      <c r="G112" s="34"/>
      <c r="H112" s="33"/>
      <c r="I112" s="61">
        <f t="array" ref="I112">IF($A112="",0,IF($H112&lt;&gt;"",IFERROR(INDEX('Bills &amp; Payments Due'!$I$7:$I$500,MATCH($H112,'Bills &amp; Payments Due'!$A$7:$A$500,0)),0),SUMIFS('Daily Transactions'!$F$6:$F$500,'Daily Transactions'!$K$6:$K$500,$O112,'Daily Transactions'!$C$6:$C$500,"Expense")))</f>
        <v>0</v>
      </c>
      <c r="J112" s="61" t="str">
        <f t="shared" si="2"/>
        <v/>
      </c>
      <c r="K112" s="60" t="str">
        <f t="shared" si="3"/>
        <v/>
      </c>
      <c r="L112" s="33"/>
      <c r="M112" s="56" t="str">
        <f t="array" ref="M112">IF($A112="","",IF(K112="Resolved",IF($H112&lt;&gt;"",IFERROR(INDEX('Bills &amp; Payments Due'!$M$7:$M$500,MATCH($H112,'Bills &amp; Payments Due'!$A$7:$A$500,0)),""),IFERROR(MAXIFS('Daily Transactions'!$A$6:$A$500,'Daily Transactions'!$K$6:$K$500,$O112,'Daily Transactions'!$C$6:$C$500,"Expense"),"")),""))</f>
        <v/>
      </c>
      <c r="N112" s="33"/>
      <c r="O112" s="26" t="str">
        <f t="shared" si="4"/>
        <v/>
      </c>
    </row>
    <row r="113" ht="15.0" customHeight="1">
      <c r="A113" s="29" t="str">
        <f t="shared" si="1"/>
        <v/>
      </c>
      <c r="B113" s="40"/>
      <c r="C113" s="16"/>
      <c r="D113" s="16"/>
      <c r="E113" s="16"/>
      <c r="F113" s="16"/>
      <c r="G113" s="41"/>
      <c r="H113" s="16"/>
      <c r="I113" s="17">
        <f t="array" ref="I113">IF($A113="",0,IF($H113&lt;&gt;"",IFERROR(INDEX('Bills &amp; Payments Due'!$I$7:$I$500,MATCH($H113,'Bills &amp; Payments Due'!$A$7:$A$500,0)),0),SUMIFS('Daily Transactions'!$F$6:$F$500,'Daily Transactions'!$K$6:$K$500,$O113,'Daily Transactions'!$C$6:$C$500,"Expense")))</f>
        <v>0</v>
      </c>
      <c r="J113" s="17" t="str">
        <f t="shared" si="2"/>
        <v/>
      </c>
      <c r="K113" s="29" t="str">
        <f t="shared" si="3"/>
        <v/>
      </c>
      <c r="L113" s="16"/>
      <c r="M113" s="49" t="str">
        <f t="array" ref="M113">IF($A113="","",IF(K113="Resolved",IF($H113&lt;&gt;"",IFERROR(INDEX('Bills &amp; Payments Due'!$M$7:$M$500,MATCH($H113,'Bills &amp; Payments Due'!$A$7:$A$500,0)),""),IFERROR(MAXIFS('Daily Transactions'!$A$6:$A$500,'Daily Transactions'!$K$6:$K$500,$O113,'Daily Transactions'!$C$6:$C$500,"Expense"),"")),""))</f>
        <v/>
      </c>
      <c r="N113" s="16"/>
      <c r="O113" s="26" t="str">
        <f t="shared" si="4"/>
        <v/>
      </c>
    </row>
    <row r="114" ht="15.0" customHeight="1">
      <c r="A114" s="60" t="str">
        <f t="shared" si="1"/>
        <v/>
      </c>
      <c r="B114" s="32"/>
      <c r="C114" s="33"/>
      <c r="D114" s="33"/>
      <c r="E114" s="33"/>
      <c r="F114" s="33"/>
      <c r="G114" s="34"/>
      <c r="H114" s="33"/>
      <c r="I114" s="61">
        <f t="array" ref="I114">IF($A114="",0,IF($H114&lt;&gt;"",IFERROR(INDEX('Bills &amp; Payments Due'!$I$7:$I$500,MATCH($H114,'Bills &amp; Payments Due'!$A$7:$A$500,0)),0),SUMIFS('Daily Transactions'!$F$6:$F$500,'Daily Transactions'!$K$6:$K$500,$O114,'Daily Transactions'!$C$6:$C$500,"Expense")))</f>
        <v>0</v>
      </c>
      <c r="J114" s="61" t="str">
        <f t="shared" si="2"/>
        <v/>
      </c>
      <c r="K114" s="60" t="str">
        <f t="shared" si="3"/>
        <v/>
      </c>
      <c r="L114" s="33"/>
      <c r="M114" s="56" t="str">
        <f t="array" ref="M114">IF($A114="","",IF(K114="Resolved",IF($H114&lt;&gt;"",IFERROR(INDEX('Bills &amp; Payments Due'!$M$7:$M$500,MATCH($H114,'Bills &amp; Payments Due'!$A$7:$A$500,0)),""),IFERROR(MAXIFS('Daily Transactions'!$A$6:$A$500,'Daily Transactions'!$K$6:$K$500,$O114,'Daily Transactions'!$C$6:$C$500,"Expense"),"")),""))</f>
        <v/>
      </c>
      <c r="N114" s="33"/>
      <c r="O114" s="26" t="str">
        <f t="shared" si="4"/>
        <v/>
      </c>
    </row>
    <row r="115" ht="15.0" customHeight="1">
      <c r="A115" s="29" t="str">
        <f t="shared" si="1"/>
        <v/>
      </c>
      <c r="B115" s="40"/>
      <c r="C115" s="16"/>
      <c r="D115" s="16"/>
      <c r="E115" s="16"/>
      <c r="F115" s="16"/>
      <c r="G115" s="41"/>
      <c r="H115" s="16"/>
      <c r="I115" s="17">
        <f t="array" ref="I115">IF($A115="",0,IF($H115&lt;&gt;"",IFERROR(INDEX('Bills &amp; Payments Due'!$I$7:$I$500,MATCH($H115,'Bills &amp; Payments Due'!$A$7:$A$500,0)),0),SUMIFS('Daily Transactions'!$F$6:$F$500,'Daily Transactions'!$K$6:$K$500,$O115,'Daily Transactions'!$C$6:$C$500,"Expense")))</f>
        <v>0</v>
      </c>
      <c r="J115" s="17" t="str">
        <f t="shared" si="2"/>
        <v/>
      </c>
      <c r="K115" s="29" t="str">
        <f t="shared" si="3"/>
        <v/>
      </c>
      <c r="L115" s="16"/>
      <c r="M115" s="49" t="str">
        <f t="array" ref="M115">IF($A115="","",IF(K115="Resolved",IF($H115&lt;&gt;"",IFERROR(INDEX('Bills &amp; Payments Due'!$M$7:$M$500,MATCH($H115,'Bills &amp; Payments Due'!$A$7:$A$500,0)),""),IFERROR(MAXIFS('Daily Transactions'!$A$6:$A$500,'Daily Transactions'!$K$6:$K$500,$O115,'Daily Transactions'!$C$6:$C$500,"Expense"),"")),""))</f>
        <v/>
      </c>
      <c r="N115" s="16"/>
      <c r="O115" s="26" t="str">
        <f t="shared" si="4"/>
        <v/>
      </c>
    </row>
    <row r="116" ht="15.0" customHeight="1">
      <c r="A116" s="60" t="str">
        <f t="shared" si="1"/>
        <v/>
      </c>
      <c r="B116" s="32"/>
      <c r="C116" s="33"/>
      <c r="D116" s="33"/>
      <c r="E116" s="33"/>
      <c r="F116" s="33"/>
      <c r="G116" s="34"/>
      <c r="H116" s="33"/>
      <c r="I116" s="61">
        <f t="array" ref="I116">IF($A116="",0,IF($H116&lt;&gt;"",IFERROR(INDEX('Bills &amp; Payments Due'!$I$7:$I$500,MATCH($H116,'Bills &amp; Payments Due'!$A$7:$A$500,0)),0),SUMIFS('Daily Transactions'!$F$6:$F$500,'Daily Transactions'!$K$6:$K$500,$O116,'Daily Transactions'!$C$6:$C$500,"Expense")))</f>
        <v>0</v>
      </c>
      <c r="J116" s="61" t="str">
        <f t="shared" si="2"/>
        <v/>
      </c>
      <c r="K116" s="60" t="str">
        <f t="shared" si="3"/>
        <v/>
      </c>
      <c r="L116" s="33"/>
      <c r="M116" s="56" t="str">
        <f t="array" ref="M116">IF($A116="","",IF(K116="Resolved",IF($H116&lt;&gt;"",IFERROR(INDEX('Bills &amp; Payments Due'!$M$7:$M$500,MATCH($H116,'Bills &amp; Payments Due'!$A$7:$A$500,0)),""),IFERROR(MAXIFS('Daily Transactions'!$A$6:$A$500,'Daily Transactions'!$K$6:$K$500,$O116,'Daily Transactions'!$C$6:$C$500,"Expense"),"")),""))</f>
        <v/>
      </c>
      <c r="N116" s="33"/>
      <c r="O116" s="26" t="str">
        <f t="shared" si="4"/>
        <v/>
      </c>
    </row>
    <row r="117" ht="15.0" customHeight="1">
      <c r="A117" s="29" t="str">
        <f t="shared" si="1"/>
        <v/>
      </c>
      <c r="B117" s="40"/>
      <c r="C117" s="16"/>
      <c r="D117" s="16"/>
      <c r="E117" s="16"/>
      <c r="F117" s="16"/>
      <c r="G117" s="41"/>
      <c r="H117" s="16"/>
      <c r="I117" s="17">
        <f t="array" ref="I117">IF($A117="",0,IF($H117&lt;&gt;"",IFERROR(INDEX('Bills &amp; Payments Due'!$I$7:$I$500,MATCH($H117,'Bills &amp; Payments Due'!$A$7:$A$500,0)),0),SUMIFS('Daily Transactions'!$F$6:$F$500,'Daily Transactions'!$K$6:$K$500,$O117,'Daily Transactions'!$C$6:$C$500,"Expense")))</f>
        <v>0</v>
      </c>
      <c r="J117" s="17" t="str">
        <f t="shared" si="2"/>
        <v/>
      </c>
      <c r="K117" s="29" t="str">
        <f t="shared" si="3"/>
        <v/>
      </c>
      <c r="L117" s="16"/>
      <c r="M117" s="49" t="str">
        <f t="array" ref="M117">IF($A117="","",IF(K117="Resolved",IF($H117&lt;&gt;"",IFERROR(INDEX('Bills &amp; Payments Due'!$M$7:$M$500,MATCH($H117,'Bills &amp; Payments Due'!$A$7:$A$500,0)),""),IFERROR(MAXIFS('Daily Transactions'!$A$6:$A$500,'Daily Transactions'!$K$6:$K$500,$O117,'Daily Transactions'!$C$6:$C$500,"Expense"),"")),""))</f>
        <v/>
      </c>
      <c r="N117" s="16"/>
      <c r="O117" s="26" t="str">
        <f t="shared" si="4"/>
        <v/>
      </c>
    </row>
    <row r="118" ht="15.0" customHeight="1">
      <c r="A118" s="60" t="str">
        <f t="shared" si="1"/>
        <v/>
      </c>
      <c r="B118" s="32"/>
      <c r="C118" s="33"/>
      <c r="D118" s="33"/>
      <c r="E118" s="33"/>
      <c r="F118" s="33"/>
      <c r="G118" s="34"/>
      <c r="H118" s="33"/>
      <c r="I118" s="61">
        <f t="array" ref="I118">IF($A118="",0,IF($H118&lt;&gt;"",IFERROR(INDEX('Bills &amp; Payments Due'!$I$7:$I$500,MATCH($H118,'Bills &amp; Payments Due'!$A$7:$A$500,0)),0),SUMIFS('Daily Transactions'!$F$6:$F$500,'Daily Transactions'!$K$6:$K$500,$O118,'Daily Transactions'!$C$6:$C$500,"Expense")))</f>
        <v>0</v>
      </c>
      <c r="J118" s="61" t="str">
        <f t="shared" si="2"/>
        <v/>
      </c>
      <c r="K118" s="60" t="str">
        <f t="shared" si="3"/>
        <v/>
      </c>
      <c r="L118" s="33"/>
      <c r="M118" s="56" t="str">
        <f t="array" ref="M118">IF($A118="","",IF(K118="Resolved",IF($H118&lt;&gt;"",IFERROR(INDEX('Bills &amp; Payments Due'!$M$7:$M$500,MATCH($H118,'Bills &amp; Payments Due'!$A$7:$A$500,0)),""),IFERROR(MAXIFS('Daily Transactions'!$A$6:$A$500,'Daily Transactions'!$K$6:$K$500,$O118,'Daily Transactions'!$C$6:$C$500,"Expense"),"")),""))</f>
        <v/>
      </c>
      <c r="N118" s="33"/>
      <c r="O118" s="26" t="str">
        <f t="shared" si="4"/>
        <v/>
      </c>
    </row>
    <row r="119" ht="15.0" customHeight="1">
      <c r="A119" s="29" t="str">
        <f t="shared" si="1"/>
        <v/>
      </c>
      <c r="B119" s="40"/>
      <c r="C119" s="16"/>
      <c r="D119" s="16"/>
      <c r="E119" s="16"/>
      <c r="F119" s="16"/>
      <c r="G119" s="41"/>
      <c r="H119" s="16"/>
      <c r="I119" s="17">
        <f t="array" ref="I119">IF($A119="",0,IF($H119&lt;&gt;"",IFERROR(INDEX('Bills &amp; Payments Due'!$I$7:$I$500,MATCH($H119,'Bills &amp; Payments Due'!$A$7:$A$500,0)),0),SUMIFS('Daily Transactions'!$F$6:$F$500,'Daily Transactions'!$K$6:$K$500,$O119,'Daily Transactions'!$C$6:$C$500,"Expense")))</f>
        <v>0</v>
      </c>
      <c r="J119" s="17" t="str">
        <f t="shared" si="2"/>
        <v/>
      </c>
      <c r="K119" s="29" t="str">
        <f t="shared" si="3"/>
        <v/>
      </c>
      <c r="L119" s="16"/>
      <c r="M119" s="49" t="str">
        <f t="array" ref="M119">IF($A119="","",IF(K119="Resolved",IF($H119&lt;&gt;"",IFERROR(INDEX('Bills &amp; Payments Due'!$M$7:$M$500,MATCH($H119,'Bills &amp; Payments Due'!$A$7:$A$500,0)),""),IFERROR(MAXIFS('Daily Transactions'!$A$6:$A$500,'Daily Transactions'!$K$6:$K$500,$O119,'Daily Transactions'!$C$6:$C$500,"Expense"),"")),""))</f>
        <v/>
      </c>
      <c r="N119" s="16"/>
      <c r="O119" s="26" t="str">
        <f t="shared" si="4"/>
        <v/>
      </c>
    </row>
    <row r="120" ht="15.0" customHeight="1">
      <c r="A120" s="60" t="str">
        <f t="shared" si="1"/>
        <v/>
      </c>
      <c r="B120" s="32"/>
      <c r="C120" s="33"/>
      <c r="D120" s="33"/>
      <c r="E120" s="33"/>
      <c r="F120" s="33"/>
      <c r="G120" s="34"/>
      <c r="H120" s="33"/>
      <c r="I120" s="61">
        <f t="array" ref="I120">IF($A120="",0,IF($H120&lt;&gt;"",IFERROR(INDEX('Bills &amp; Payments Due'!$I$7:$I$500,MATCH($H120,'Bills &amp; Payments Due'!$A$7:$A$500,0)),0),SUMIFS('Daily Transactions'!$F$6:$F$500,'Daily Transactions'!$K$6:$K$500,$O120,'Daily Transactions'!$C$6:$C$500,"Expense")))</f>
        <v>0</v>
      </c>
      <c r="J120" s="61" t="str">
        <f t="shared" si="2"/>
        <v/>
      </c>
      <c r="K120" s="60" t="str">
        <f t="shared" si="3"/>
        <v/>
      </c>
      <c r="L120" s="33"/>
      <c r="M120" s="56" t="str">
        <f t="array" ref="M120">IF($A120="","",IF(K120="Resolved",IF($H120&lt;&gt;"",IFERROR(INDEX('Bills &amp; Payments Due'!$M$7:$M$500,MATCH($H120,'Bills &amp; Payments Due'!$A$7:$A$500,0)),""),IFERROR(MAXIFS('Daily Transactions'!$A$6:$A$500,'Daily Transactions'!$K$6:$K$500,$O120,'Daily Transactions'!$C$6:$C$500,"Expense"),"")),""))</f>
        <v/>
      </c>
      <c r="N120" s="33"/>
      <c r="O120" s="26" t="str">
        <f t="shared" si="4"/>
        <v/>
      </c>
    </row>
    <row r="121" ht="15.0" customHeight="1">
      <c r="A121" s="29" t="str">
        <f t="shared" si="1"/>
        <v/>
      </c>
      <c r="B121" s="40"/>
      <c r="C121" s="16"/>
      <c r="D121" s="16"/>
      <c r="E121" s="16"/>
      <c r="F121" s="16"/>
      <c r="G121" s="41"/>
      <c r="H121" s="16"/>
      <c r="I121" s="17">
        <f t="array" ref="I121">IF($A121="",0,IF($H121&lt;&gt;"",IFERROR(INDEX('Bills &amp; Payments Due'!$I$7:$I$500,MATCH($H121,'Bills &amp; Payments Due'!$A$7:$A$500,0)),0),SUMIFS('Daily Transactions'!$F$6:$F$500,'Daily Transactions'!$K$6:$K$500,$O121,'Daily Transactions'!$C$6:$C$500,"Expense")))</f>
        <v>0</v>
      </c>
      <c r="J121" s="17" t="str">
        <f t="shared" si="2"/>
        <v/>
      </c>
      <c r="K121" s="29" t="str">
        <f t="shared" si="3"/>
        <v/>
      </c>
      <c r="L121" s="16"/>
      <c r="M121" s="49" t="str">
        <f t="array" ref="M121">IF($A121="","",IF(K121="Resolved",IF($H121&lt;&gt;"",IFERROR(INDEX('Bills &amp; Payments Due'!$M$7:$M$500,MATCH($H121,'Bills &amp; Payments Due'!$A$7:$A$500,0)),""),IFERROR(MAXIFS('Daily Transactions'!$A$6:$A$500,'Daily Transactions'!$K$6:$K$500,$O121,'Daily Transactions'!$C$6:$C$500,"Expense"),"")),""))</f>
        <v/>
      </c>
      <c r="N121" s="16"/>
      <c r="O121" s="26" t="str">
        <f t="shared" si="4"/>
        <v/>
      </c>
    </row>
    <row r="122" ht="15.0" customHeight="1">
      <c r="A122" s="60" t="str">
        <f t="shared" si="1"/>
        <v/>
      </c>
      <c r="B122" s="32"/>
      <c r="C122" s="33"/>
      <c r="D122" s="33"/>
      <c r="E122" s="33"/>
      <c r="F122" s="33"/>
      <c r="G122" s="34"/>
      <c r="H122" s="33"/>
      <c r="I122" s="61">
        <f t="array" ref="I122">IF($A122="",0,IF($H122&lt;&gt;"",IFERROR(INDEX('Bills &amp; Payments Due'!$I$7:$I$500,MATCH($H122,'Bills &amp; Payments Due'!$A$7:$A$500,0)),0),SUMIFS('Daily Transactions'!$F$6:$F$500,'Daily Transactions'!$K$6:$K$500,$O122,'Daily Transactions'!$C$6:$C$500,"Expense")))</f>
        <v>0</v>
      </c>
      <c r="J122" s="61" t="str">
        <f t="shared" si="2"/>
        <v/>
      </c>
      <c r="K122" s="60" t="str">
        <f t="shared" si="3"/>
        <v/>
      </c>
      <c r="L122" s="33"/>
      <c r="M122" s="56" t="str">
        <f t="array" ref="M122">IF($A122="","",IF(K122="Resolved",IF($H122&lt;&gt;"",IFERROR(INDEX('Bills &amp; Payments Due'!$M$7:$M$500,MATCH($H122,'Bills &amp; Payments Due'!$A$7:$A$500,0)),""),IFERROR(MAXIFS('Daily Transactions'!$A$6:$A$500,'Daily Transactions'!$K$6:$K$500,$O122,'Daily Transactions'!$C$6:$C$500,"Expense"),"")),""))</f>
        <v/>
      </c>
      <c r="N122" s="33"/>
      <c r="O122" s="26" t="str">
        <f t="shared" si="4"/>
        <v/>
      </c>
    </row>
    <row r="123" ht="15.0" customHeight="1">
      <c r="A123" s="29" t="str">
        <f t="shared" si="1"/>
        <v/>
      </c>
      <c r="B123" s="40"/>
      <c r="C123" s="16"/>
      <c r="D123" s="16"/>
      <c r="E123" s="16"/>
      <c r="F123" s="16"/>
      <c r="G123" s="41"/>
      <c r="H123" s="16"/>
      <c r="I123" s="17">
        <f t="array" ref="I123">IF($A123="",0,IF($H123&lt;&gt;"",IFERROR(INDEX('Bills &amp; Payments Due'!$I$7:$I$500,MATCH($H123,'Bills &amp; Payments Due'!$A$7:$A$500,0)),0),SUMIFS('Daily Transactions'!$F$6:$F$500,'Daily Transactions'!$K$6:$K$500,$O123,'Daily Transactions'!$C$6:$C$500,"Expense")))</f>
        <v>0</v>
      </c>
      <c r="J123" s="17" t="str">
        <f t="shared" si="2"/>
        <v/>
      </c>
      <c r="K123" s="29" t="str">
        <f t="shared" si="3"/>
        <v/>
      </c>
      <c r="L123" s="16"/>
      <c r="M123" s="49" t="str">
        <f t="array" ref="M123">IF($A123="","",IF(K123="Resolved",IF($H123&lt;&gt;"",IFERROR(INDEX('Bills &amp; Payments Due'!$M$7:$M$500,MATCH($H123,'Bills &amp; Payments Due'!$A$7:$A$500,0)),""),IFERROR(MAXIFS('Daily Transactions'!$A$6:$A$500,'Daily Transactions'!$K$6:$K$500,$O123,'Daily Transactions'!$C$6:$C$500,"Expense"),"")),""))</f>
        <v/>
      </c>
      <c r="N123" s="16"/>
      <c r="O123" s="26" t="str">
        <f t="shared" si="4"/>
        <v/>
      </c>
    </row>
    <row r="124" ht="15.0" customHeight="1">
      <c r="A124" s="60" t="str">
        <f t="shared" si="1"/>
        <v/>
      </c>
      <c r="B124" s="32"/>
      <c r="C124" s="33"/>
      <c r="D124" s="33"/>
      <c r="E124" s="33"/>
      <c r="F124" s="33"/>
      <c r="G124" s="34"/>
      <c r="H124" s="33"/>
      <c r="I124" s="61">
        <f t="array" ref="I124">IF($A124="",0,IF($H124&lt;&gt;"",IFERROR(INDEX('Bills &amp; Payments Due'!$I$7:$I$500,MATCH($H124,'Bills &amp; Payments Due'!$A$7:$A$500,0)),0),SUMIFS('Daily Transactions'!$F$6:$F$500,'Daily Transactions'!$K$6:$K$500,$O124,'Daily Transactions'!$C$6:$C$500,"Expense")))</f>
        <v>0</v>
      </c>
      <c r="J124" s="61" t="str">
        <f t="shared" si="2"/>
        <v/>
      </c>
      <c r="K124" s="60" t="str">
        <f t="shared" si="3"/>
        <v/>
      </c>
      <c r="L124" s="33"/>
      <c r="M124" s="56" t="str">
        <f t="array" ref="M124">IF($A124="","",IF(K124="Resolved",IF($H124&lt;&gt;"",IFERROR(INDEX('Bills &amp; Payments Due'!$M$7:$M$500,MATCH($H124,'Bills &amp; Payments Due'!$A$7:$A$500,0)),""),IFERROR(MAXIFS('Daily Transactions'!$A$6:$A$500,'Daily Transactions'!$K$6:$K$500,$O124,'Daily Transactions'!$C$6:$C$500,"Expense"),"")),""))</f>
        <v/>
      </c>
      <c r="N124" s="33"/>
      <c r="O124" s="26" t="str">
        <f t="shared" si="4"/>
        <v/>
      </c>
    </row>
    <row r="125" ht="15.0" customHeight="1">
      <c r="A125" s="29" t="str">
        <f t="shared" si="1"/>
        <v/>
      </c>
      <c r="B125" s="40"/>
      <c r="C125" s="16"/>
      <c r="D125" s="16"/>
      <c r="E125" s="16"/>
      <c r="F125" s="16"/>
      <c r="G125" s="41"/>
      <c r="H125" s="16"/>
      <c r="I125" s="17">
        <f t="array" ref="I125">IF($A125="",0,IF($H125&lt;&gt;"",IFERROR(INDEX('Bills &amp; Payments Due'!$I$7:$I$500,MATCH($H125,'Bills &amp; Payments Due'!$A$7:$A$500,0)),0),SUMIFS('Daily Transactions'!$F$6:$F$500,'Daily Transactions'!$K$6:$K$500,$O125,'Daily Transactions'!$C$6:$C$500,"Expense")))</f>
        <v>0</v>
      </c>
      <c r="J125" s="17" t="str">
        <f t="shared" si="2"/>
        <v/>
      </c>
      <c r="K125" s="29" t="str">
        <f t="shared" si="3"/>
        <v/>
      </c>
      <c r="L125" s="16"/>
      <c r="M125" s="49" t="str">
        <f t="array" ref="M125">IF($A125="","",IF(K125="Resolved",IF($H125&lt;&gt;"",IFERROR(INDEX('Bills &amp; Payments Due'!$M$7:$M$500,MATCH($H125,'Bills &amp; Payments Due'!$A$7:$A$500,0)),""),IFERROR(MAXIFS('Daily Transactions'!$A$6:$A$500,'Daily Transactions'!$K$6:$K$500,$O125,'Daily Transactions'!$C$6:$C$500,"Expense"),"")),""))</f>
        <v/>
      </c>
      <c r="N125" s="16"/>
      <c r="O125" s="26" t="str">
        <f t="shared" si="4"/>
        <v/>
      </c>
    </row>
    <row r="126" ht="15.0" customHeight="1">
      <c r="A126" s="60" t="str">
        <f t="shared" si="1"/>
        <v/>
      </c>
      <c r="B126" s="32"/>
      <c r="C126" s="33"/>
      <c r="D126" s="33"/>
      <c r="E126" s="33"/>
      <c r="F126" s="33"/>
      <c r="G126" s="34"/>
      <c r="H126" s="33"/>
      <c r="I126" s="61">
        <f t="array" ref="I126">IF($A126="",0,IF($H126&lt;&gt;"",IFERROR(INDEX('Bills &amp; Payments Due'!$I$7:$I$500,MATCH($H126,'Bills &amp; Payments Due'!$A$7:$A$500,0)),0),SUMIFS('Daily Transactions'!$F$6:$F$500,'Daily Transactions'!$K$6:$K$500,$O126,'Daily Transactions'!$C$6:$C$500,"Expense")))</f>
        <v>0</v>
      </c>
      <c r="J126" s="61" t="str">
        <f t="shared" si="2"/>
        <v/>
      </c>
      <c r="K126" s="60" t="str">
        <f t="shared" si="3"/>
        <v/>
      </c>
      <c r="L126" s="33"/>
      <c r="M126" s="56" t="str">
        <f t="array" ref="M126">IF($A126="","",IF(K126="Resolved",IF($H126&lt;&gt;"",IFERROR(INDEX('Bills &amp; Payments Due'!$M$7:$M$500,MATCH($H126,'Bills &amp; Payments Due'!$A$7:$A$500,0)),""),IFERROR(MAXIFS('Daily Transactions'!$A$6:$A$500,'Daily Transactions'!$K$6:$K$500,$O126,'Daily Transactions'!$C$6:$C$500,"Expense"),"")),""))</f>
        <v/>
      </c>
      <c r="N126" s="33"/>
      <c r="O126" s="26" t="str">
        <f t="shared" si="4"/>
        <v/>
      </c>
    </row>
    <row r="127" ht="15.0" customHeight="1">
      <c r="A127" s="29" t="str">
        <f t="shared" si="1"/>
        <v/>
      </c>
      <c r="B127" s="40"/>
      <c r="C127" s="16"/>
      <c r="D127" s="16"/>
      <c r="E127" s="16"/>
      <c r="F127" s="16"/>
      <c r="G127" s="41"/>
      <c r="H127" s="16"/>
      <c r="I127" s="17">
        <f t="array" ref="I127">IF($A127="",0,IF($H127&lt;&gt;"",IFERROR(INDEX('Bills &amp; Payments Due'!$I$7:$I$500,MATCH($H127,'Bills &amp; Payments Due'!$A$7:$A$500,0)),0),SUMIFS('Daily Transactions'!$F$6:$F$500,'Daily Transactions'!$K$6:$K$500,$O127,'Daily Transactions'!$C$6:$C$500,"Expense")))</f>
        <v>0</v>
      </c>
      <c r="J127" s="17" t="str">
        <f t="shared" si="2"/>
        <v/>
      </c>
      <c r="K127" s="29" t="str">
        <f t="shared" si="3"/>
        <v/>
      </c>
      <c r="L127" s="16"/>
      <c r="M127" s="49" t="str">
        <f t="array" ref="M127">IF($A127="","",IF(K127="Resolved",IF($H127&lt;&gt;"",IFERROR(INDEX('Bills &amp; Payments Due'!$M$7:$M$500,MATCH($H127,'Bills &amp; Payments Due'!$A$7:$A$500,0)),""),IFERROR(MAXIFS('Daily Transactions'!$A$6:$A$500,'Daily Transactions'!$K$6:$K$500,$O127,'Daily Transactions'!$C$6:$C$500,"Expense"),"")),""))</f>
        <v/>
      </c>
      <c r="N127" s="16"/>
      <c r="O127" s="26" t="str">
        <f t="shared" si="4"/>
        <v/>
      </c>
    </row>
    <row r="128" ht="15.0" customHeight="1">
      <c r="A128" s="60" t="str">
        <f t="shared" si="1"/>
        <v/>
      </c>
      <c r="B128" s="32"/>
      <c r="C128" s="33"/>
      <c r="D128" s="33"/>
      <c r="E128" s="33"/>
      <c r="F128" s="33"/>
      <c r="G128" s="34"/>
      <c r="H128" s="33"/>
      <c r="I128" s="61">
        <f t="array" ref="I128">IF($A128="",0,IF($H128&lt;&gt;"",IFERROR(INDEX('Bills &amp; Payments Due'!$I$7:$I$500,MATCH($H128,'Bills &amp; Payments Due'!$A$7:$A$500,0)),0),SUMIFS('Daily Transactions'!$F$6:$F$500,'Daily Transactions'!$K$6:$K$500,$O128,'Daily Transactions'!$C$6:$C$500,"Expense")))</f>
        <v>0</v>
      </c>
      <c r="J128" s="61" t="str">
        <f t="shared" si="2"/>
        <v/>
      </c>
      <c r="K128" s="60" t="str">
        <f t="shared" si="3"/>
        <v/>
      </c>
      <c r="L128" s="33"/>
      <c r="M128" s="56" t="str">
        <f t="array" ref="M128">IF($A128="","",IF(K128="Resolved",IF($H128&lt;&gt;"",IFERROR(INDEX('Bills &amp; Payments Due'!$M$7:$M$500,MATCH($H128,'Bills &amp; Payments Due'!$A$7:$A$500,0)),""),IFERROR(MAXIFS('Daily Transactions'!$A$6:$A$500,'Daily Transactions'!$K$6:$K$500,$O128,'Daily Transactions'!$C$6:$C$500,"Expense"),"")),""))</f>
        <v/>
      </c>
      <c r="N128" s="33"/>
      <c r="O128" s="26" t="str">
        <f t="shared" si="4"/>
        <v/>
      </c>
    </row>
    <row r="129" ht="15.0" customHeight="1">
      <c r="A129" s="29" t="str">
        <f t="shared" si="1"/>
        <v/>
      </c>
      <c r="B129" s="40"/>
      <c r="C129" s="16"/>
      <c r="D129" s="16"/>
      <c r="E129" s="16"/>
      <c r="F129" s="16"/>
      <c r="G129" s="41"/>
      <c r="H129" s="16"/>
      <c r="I129" s="17">
        <f t="array" ref="I129">IF($A129="",0,IF($H129&lt;&gt;"",IFERROR(INDEX('Bills &amp; Payments Due'!$I$7:$I$500,MATCH($H129,'Bills &amp; Payments Due'!$A$7:$A$500,0)),0),SUMIFS('Daily Transactions'!$F$6:$F$500,'Daily Transactions'!$K$6:$K$500,$O129,'Daily Transactions'!$C$6:$C$500,"Expense")))</f>
        <v>0</v>
      </c>
      <c r="J129" s="17" t="str">
        <f t="shared" si="2"/>
        <v/>
      </c>
      <c r="K129" s="29" t="str">
        <f t="shared" si="3"/>
        <v/>
      </c>
      <c r="L129" s="16"/>
      <c r="M129" s="49" t="str">
        <f t="array" ref="M129">IF($A129="","",IF(K129="Resolved",IF($H129&lt;&gt;"",IFERROR(INDEX('Bills &amp; Payments Due'!$M$7:$M$500,MATCH($H129,'Bills &amp; Payments Due'!$A$7:$A$500,0)),""),IFERROR(MAXIFS('Daily Transactions'!$A$6:$A$500,'Daily Transactions'!$K$6:$K$500,$O129,'Daily Transactions'!$C$6:$C$500,"Expense"),"")),""))</f>
        <v/>
      </c>
      <c r="N129" s="16"/>
      <c r="O129" s="26" t="str">
        <f t="shared" si="4"/>
        <v/>
      </c>
    </row>
    <row r="130" ht="15.0" customHeight="1">
      <c r="A130" s="60" t="str">
        <f t="shared" si="1"/>
        <v/>
      </c>
      <c r="B130" s="32"/>
      <c r="C130" s="33"/>
      <c r="D130" s="33"/>
      <c r="E130" s="33"/>
      <c r="F130" s="33"/>
      <c r="G130" s="34"/>
      <c r="H130" s="33"/>
      <c r="I130" s="61">
        <f t="array" ref="I130">IF($A130="",0,IF($H130&lt;&gt;"",IFERROR(INDEX('Bills &amp; Payments Due'!$I$7:$I$500,MATCH($H130,'Bills &amp; Payments Due'!$A$7:$A$500,0)),0),SUMIFS('Daily Transactions'!$F$6:$F$500,'Daily Transactions'!$K$6:$K$500,$O130,'Daily Transactions'!$C$6:$C$500,"Expense")))</f>
        <v>0</v>
      </c>
      <c r="J130" s="61" t="str">
        <f t="shared" si="2"/>
        <v/>
      </c>
      <c r="K130" s="60" t="str">
        <f t="shared" si="3"/>
        <v/>
      </c>
      <c r="L130" s="33"/>
      <c r="M130" s="56" t="str">
        <f t="array" ref="M130">IF($A130="","",IF(K130="Resolved",IF($H130&lt;&gt;"",IFERROR(INDEX('Bills &amp; Payments Due'!$M$7:$M$500,MATCH($H130,'Bills &amp; Payments Due'!$A$7:$A$500,0)),""),IFERROR(MAXIFS('Daily Transactions'!$A$6:$A$500,'Daily Transactions'!$K$6:$K$500,$O130,'Daily Transactions'!$C$6:$C$500,"Expense"),"")),""))</f>
        <v/>
      </c>
      <c r="N130" s="33"/>
      <c r="O130" s="26" t="str">
        <f t="shared" si="4"/>
        <v/>
      </c>
    </row>
    <row r="131" ht="15.0" customHeight="1">
      <c r="A131" s="29" t="str">
        <f t="shared" si="1"/>
        <v/>
      </c>
      <c r="B131" s="40"/>
      <c r="C131" s="16"/>
      <c r="D131" s="16"/>
      <c r="E131" s="16"/>
      <c r="F131" s="16"/>
      <c r="G131" s="41"/>
      <c r="H131" s="16"/>
      <c r="I131" s="17">
        <f t="array" ref="I131">IF($A131="",0,IF($H131&lt;&gt;"",IFERROR(INDEX('Bills &amp; Payments Due'!$I$7:$I$500,MATCH($H131,'Bills &amp; Payments Due'!$A$7:$A$500,0)),0),SUMIFS('Daily Transactions'!$F$6:$F$500,'Daily Transactions'!$K$6:$K$500,$O131,'Daily Transactions'!$C$6:$C$500,"Expense")))</f>
        <v>0</v>
      </c>
      <c r="J131" s="17" t="str">
        <f t="shared" si="2"/>
        <v/>
      </c>
      <c r="K131" s="29" t="str">
        <f t="shared" si="3"/>
        <v/>
      </c>
      <c r="L131" s="16"/>
      <c r="M131" s="49" t="str">
        <f t="array" ref="M131">IF($A131="","",IF(K131="Resolved",IF($H131&lt;&gt;"",IFERROR(INDEX('Bills &amp; Payments Due'!$M$7:$M$500,MATCH($H131,'Bills &amp; Payments Due'!$A$7:$A$500,0)),""),IFERROR(MAXIFS('Daily Transactions'!$A$6:$A$500,'Daily Transactions'!$K$6:$K$500,$O131,'Daily Transactions'!$C$6:$C$500,"Expense"),"")),""))</f>
        <v/>
      </c>
      <c r="N131" s="16"/>
      <c r="O131" s="26" t="str">
        <f t="shared" si="4"/>
        <v/>
      </c>
    </row>
    <row r="132" ht="15.0" customHeight="1">
      <c r="A132" s="60" t="str">
        <f t="shared" si="1"/>
        <v/>
      </c>
      <c r="B132" s="32"/>
      <c r="C132" s="33"/>
      <c r="D132" s="33"/>
      <c r="E132" s="33"/>
      <c r="F132" s="33"/>
      <c r="G132" s="34"/>
      <c r="H132" s="33"/>
      <c r="I132" s="61">
        <f t="array" ref="I132">IF($A132="",0,IF($H132&lt;&gt;"",IFERROR(INDEX('Bills &amp; Payments Due'!$I$7:$I$500,MATCH($H132,'Bills &amp; Payments Due'!$A$7:$A$500,0)),0),SUMIFS('Daily Transactions'!$F$6:$F$500,'Daily Transactions'!$K$6:$K$500,$O132,'Daily Transactions'!$C$6:$C$500,"Expense")))</f>
        <v>0</v>
      </c>
      <c r="J132" s="61" t="str">
        <f t="shared" si="2"/>
        <v/>
      </c>
      <c r="K132" s="60" t="str">
        <f t="shared" si="3"/>
        <v/>
      </c>
      <c r="L132" s="33"/>
      <c r="M132" s="56" t="str">
        <f t="array" ref="M132">IF($A132="","",IF(K132="Resolved",IF($H132&lt;&gt;"",IFERROR(INDEX('Bills &amp; Payments Due'!$M$7:$M$500,MATCH($H132,'Bills &amp; Payments Due'!$A$7:$A$500,0)),""),IFERROR(MAXIFS('Daily Transactions'!$A$6:$A$500,'Daily Transactions'!$K$6:$K$500,$O132,'Daily Transactions'!$C$6:$C$500,"Expense"),"")),""))</f>
        <v/>
      </c>
      <c r="N132" s="33"/>
      <c r="O132" s="26" t="str">
        <f t="shared" si="4"/>
        <v/>
      </c>
    </row>
    <row r="133" ht="15.0" customHeight="1">
      <c r="A133" s="29" t="str">
        <f t="shared" si="1"/>
        <v/>
      </c>
      <c r="B133" s="40"/>
      <c r="C133" s="16"/>
      <c r="D133" s="16"/>
      <c r="E133" s="16"/>
      <c r="F133" s="16"/>
      <c r="G133" s="41"/>
      <c r="H133" s="16"/>
      <c r="I133" s="17">
        <f t="array" ref="I133">IF($A133="",0,IF($H133&lt;&gt;"",IFERROR(INDEX('Bills &amp; Payments Due'!$I$7:$I$500,MATCH($H133,'Bills &amp; Payments Due'!$A$7:$A$500,0)),0),SUMIFS('Daily Transactions'!$F$6:$F$500,'Daily Transactions'!$K$6:$K$500,$O133,'Daily Transactions'!$C$6:$C$500,"Expense")))</f>
        <v>0</v>
      </c>
      <c r="J133" s="17" t="str">
        <f t="shared" si="2"/>
        <v/>
      </c>
      <c r="K133" s="29" t="str">
        <f t="shared" si="3"/>
        <v/>
      </c>
      <c r="L133" s="16"/>
      <c r="M133" s="49" t="str">
        <f t="array" ref="M133">IF($A133="","",IF(K133="Resolved",IF($H133&lt;&gt;"",IFERROR(INDEX('Bills &amp; Payments Due'!$M$7:$M$500,MATCH($H133,'Bills &amp; Payments Due'!$A$7:$A$500,0)),""),IFERROR(MAXIFS('Daily Transactions'!$A$6:$A$500,'Daily Transactions'!$K$6:$K$500,$O133,'Daily Transactions'!$C$6:$C$500,"Expense"),"")),""))</f>
        <v/>
      </c>
      <c r="N133" s="16"/>
      <c r="O133" s="26" t="str">
        <f t="shared" si="4"/>
        <v/>
      </c>
    </row>
    <row r="134" ht="15.0" customHeight="1">
      <c r="A134" s="60" t="str">
        <f t="shared" si="1"/>
        <v/>
      </c>
      <c r="B134" s="32"/>
      <c r="C134" s="33"/>
      <c r="D134" s="33"/>
      <c r="E134" s="33"/>
      <c r="F134" s="33"/>
      <c r="G134" s="34"/>
      <c r="H134" s="33"/>
      <c r="I134" s="61">
        <f t="array" ref="I134">IF($A134="",0,IF($H134&lt;&gt;"",IFERROR(INDEX('Bills &amp; Payments Due'!$I$7:$I$500,MATCH($H134,'Bills &amp; Payments Due'!$A$7:$A$500,0)),0),SUMIFS('Daily Transactions'!$F$6:$F$500,'Daily Transactions'!$K$6:$K$500,$O134,'Daily Transactions'!$C$6:$C$500,"Expense")))</f>
        <v>0</v>
      </c>
      <c r="J134" s="61" t="str">
        <f t="shared" si="2"/>
        <v/>
      </c>
      <c r="K134" s="60" t="str">
        <f t="shared" si="3"/>
        <v/>
      </c>
      <c r="L134" s="33"/>
      <c r="M134" s="56" t="str">
        <f t="array" ref="M134">IF($A134="","",IF(K134="Resolved",IF($H134&lt;&gt;"",IFERROR(INDEX('Bills &amp; Payments Due'!$M$7:$M$500,MATCH($H134,'Bills &amp; Payments Due'!$A$7:$A$500,0)),""),IFERROR(MAXIFS('Daily Transactions'!$A$6:$A$500,'Daily Transactions'!$K$6:$K$500,$O134,'Daily Transactions'!$C$6:$C$500,"Expense"),"")),""))</f>
        <v/>
      </c>
      <c r="N134" s="33"/>
      <c r="O134" s="26" t="str">
        <f t="shared" si="4"/>
        <v/>
      </c>
    </row>
    <row r="135" ht="15.0" customHeight="1">
      <c r="A135" s="29" t="str">
        <f t="shared" si="1"/>
        <v/>
      </c>
      <c r="B135" s="40"/>
      <c r="C135" s="16"/>
      <c r="D135" s="16"/>
      <c r="E135" s="16"/>
      <c r="F135" s="16"/>
      <c r="G135" s="41"/>
      <c r="H135" s="16"/>
      <c r="I135" s="17">
        <f t="array" ref="I135">IF($A135="",0,IF($H135&lt;&gt;"",IFERROR(INDEX('Bills &amp; Payments Due'!$I$7:$I$500,MATCH($H135,'Bills &amp; Payments Due'!$A$7:$A$500,0)),0),SUMIFS('Daily Transactions'!$F$6:$F$500,'Daily Transactions'!$K$6:$K$500,$O135,'Daily Transactions'!$C$6:$C$500,"Expense")))</f>
        <v>0</v>
      </c>
      <c r="J135" s="17" t="str">
        <f t="shared" si="2"/>
        <v/>
      </c>
      <c r="K135" s="29" t="str">
        <f t="shared" si="3"/>
        <v/>
      </c>
      <c r="L135" s="16"/>
      <c r="M135" s="49" t="str">
        <f t="array" ref="M135">IF($A135="","",IF(K135="Resolved",IF($H135&lt;&gt;"",IFERROR(INDEX('Bills &amp; Payments Due'!$M$7:$M$500,MATCH($H135,'Bills &amp; Payments Due'!$A$7:$A$500,0)),""),IFERROR(MAXIFS('Daily Transactions'!$A$6:$A$500,'Daily Transactions'!$K$6:$K$500,$O135,'Daily Transactions'!$C$6:$C$500,"Expense"),"")),""))</f>
        <v/>
      </c>
      <c r="N135" s="16"/>
      <c r="O135" s="26" t="str">
        <f t="shared" si="4"/>
        <v/>
      </c>
    </row>
    <row r="136" ht="15.0" customHeight="1">
      <c r="A136" s="60" t="str">
        <f t="shared" si="1"/>
        <v/>
      </c>
      <c r="B136" s="32"/>
      <c r="C136" s="33"/>
      <c r="D136" s="33"/>
      <c r="E136" s="33"/>
      <c r="F136" s="33"/>
      <c r="G136" s="34"/>
      <c r="H136" s="33"/>
      <c r="I136" s="61">
        <f t="array" ref="I136">IF($A136="",0,IF($H136&lt;&gt;"",IFERROR(INDEX('Bills &amp; Payments Due'!$I$7:$I$500,MATCH($H136,'Bills &amp; Payments Due'!$A$7:$A$500,0)),0),SUMIFS('Daily Transactions'!$F$6:$F$500,'Daily Transactions'!$K$6:$K$500,$O136,'Daily Transactions'!$C$6:$C$500,"Expense")))</f>
        <v>0</v>
      </c>
      <c r="J136" s="61" t="str">
        <f t="shared" si="2"/>
        <v/>
      </c>
      <c r="K136" s="60" t="str">
        <f t="shared" si="3"/>
        <v/>
      </c>
      <c r="L136" s="33"/>
      <c r="M136" s="56" t="str">
        <f t="array" ref="M136">IF($A136="","",IF(K136="Resolved",IF($H136&lt;&gt;"",IFERROR(INDEX('Bills &amp; Payments Due'!$M$7:$M$500,MATCH($H136,'Bills &amp; Payments Due'!$A$7:$A$500,0)),""),IFERROR(MAXIFS('Daily Transactions'!$A$6:$A$500,'Daily Transactions'!$K$6:$K$500,$O136,'Daily Transactions'!$C$6:$C$500,"Expense"),"")),""))</f>
        <v/>
      </c>
      <c r="N136" s="33"/>
      <c r="O136" s="26" t="str">
        <f t="shared" si="4"/>
        <v/>
      </c>
    </row>
    <row r="137" ht="15.0" customHeight="1">
      <c r="A137" s="29" t="str">
        <f t="shared" si="1"/>
        <v/>
      </c>
      <c r="B137" s="40"/>
      <c r="C137" s="16"/>
      <c r="D137" s="16"/>
      <c r="E137" s="16"/>
      <c r="F137" s="16"/>
      <c r="G137" s="41"/>
      <c r="H137" s="16"/>
      <c r="I137" s="17">
        <f t="array" ref="I137">IF($A137="",0,IF($H137&lt;&gt;"",IFERROR(INDEX('Bills &amp; Payments Due'!$I$7:$I$500,MATCH($H137,'Bills &amp; Payments Due'!$A$7:$A$500,0)),0),SUMIFS('Daily Transactions'!$F$6:$F$500,'Daily Transactions'!$K$6:$K$500,$O137,'Daily Transactions'!$C$6:$C$500,"Expense")))</f>
        <v>0</v>
      </c>
      <c r="J137" s="17" t="str">
        <f t="shared" si="2"/>
        <v/>
      </c>
      <c r="K137" s="29" t="str">
        <f t="shared" si="3"/>
        <v/>
      </c>
      <c r="L137" s="16"/>
      <c r="M137" s="49" t="str">
        <f t="array" ref="M137">IF($A137="","",IF(K137="Resolved",IF($H137&lt;&gt;"",IFERROR(INDEX('Bills &amp; Payments Due'!$M$7:$M$500,MATCH($H137,'Bills &amp; Payments Due'!$A$7:$A$500,0)),""),IFERROR(MAXIFS('Daily Transactions'!$A$6:$A$500,'Daily Transactions'!$K$6:$K$500,$O137,'Daily Transactions'!$C$6:$C$500,"Expense"),"")),""))</f>
        <v/>
      </c>
      <c r="N137" s="16"/>
      <c r="O137" s="26" t="str">
        <f t="shared" si="4"/>
        <v/>
      </c>
    </row>
    <row r="138" ht="15.0" customHeight="1">
      <c r="A138" s="60" t="str">
        <f t="shared" si="1"/>
        <v/>
      </c>
      <c r="B138" s="32"/>
      <c r="C138" s="33"/>
      <c r="D138" s="33"/>
      <c r="E138" s="33"/>
      <c r="F138" s="33"/>
      <c r="G138" s="34"/>
      <c r="H138" s="33"/>
      <c r="I138" s="61">
        <f t="array" ref="I138">IF($A138="",0,IF($H138&lt;&gt;"",IFERROR(INDEX('Bills &amp; Payments Due'!$I$7:$I$500,MATCH($H138,'Bills &amp; Payments Due'!$A$7:$A$500,0)),0),SUMIFS('Daily Transactions'!$F$6:$F$500,'Daily Transactions'!$K$6:$K$500,$O138,'Daily Transactions'!$C$6:$C$500,"Expense")))</f>
        <v>0</v>
      </c>
      <c r="J138" s="61" t="str">
        <f t="shared" si="2"/>
        <v/>
      </c>
      <c r="K138" s="60" t="str">
        <f t="shared" si="3"/>
        <v/>
      </c>
      <c r="L138" s="33"/>
      <c r="M138" s="56" t="str">
        <f t="array" ref="M138">IF($A138="","",IF(K138="Resolved",IF($H138&lt;&gt;"",IFERROR(INDEX('Bills &amp; Payments Due'!$M$7:$M$500,MATCH($H138,'Bills &amp; Payments Due'!$A$7:$A$500,0)),""),IFERROR(MAXIFS('Daily Transactions'!$A$6:$A$500,'Daily Transactions'!$K$6:$K$500,$O138,'Daily Transactions'!$C$6:$C$500,"Expense"),"")),""))</f>
        <v/>
      </c>
      <c r="N138" s="33"/>
      <c r="O138" s="26" t="str">
        <f t="shared" si="4"/>
        <v/>
      </c>
    </row>
    <row r="139" ht="15.0" customHeight="1">
      <c r="A139" s="29" t="str">
        <f t="shared" si="1"/>
        <v/>
      </c>
      <c r="B139" s="40"/>
      <c r="C139" s="16"/>
      <c r="D139" s="16"/>
      <c r="E139" s="16"/>
      <c r="F139" s="16"/>
      <c r="G139" s="41"/>
      <c r="H139" s="16"/>
      <c r="I139" s="17">
        <f t="array" ref="I139">IF($A139="",0,IF($H139&lt;&gt;"",IFERROR(INDEX('Bills &amp; Payments Due'!$I$7:$I$500,MATCH($H139,'Bills &amp; Payments Due'!$A$7:$A$500,0)),0),SUMIFS('Daily Transactions'!$F$6:$F$500,'Daily Transactions'!$K$6:$K$500,$O139,'Daily Transactions'!$C$6:$C$500,"Expense")))</f>
        <v>0</v>
      </c>
      <c r="J139" s="17" t="str">
        <f t="shared" si="2"/>
        <v/>
      </c>
      <c r="K139" s="29" t="str">
        <f t="shared" si="3"/>
        <v/>
      </c>
      <c r="L139" s="16"/>
      <c r="M139" s="49" t="str">
        <f t="array" ref="M139">IF($A139="","",IF(K139="Resolved",IF($H139&lt;&gt;"",IFERROR(INDEX('Bills &amp; Payments Due'!$M$7:$M$500,MATCH($H139,'Bills &amp; Payments Due'!$A$7:$A$500,0)),""),IFERROR(MAXIFS('Daily Transactions'!$A$6:$A$500,'Daily Transactions'!$K$6:$K$500,$O139,'Daily Transactions'!$C$6:$C$500,"Expense"),"")),""))</f>
        <v/>
      </c>
      <c r="N139" s="16"/>
      <c r="O139" s="26" t="str">
        <f t="shared" si="4"/>
        <v/>
      </c>
    </row>
    <row r="140" ht="15.0" customHeight="1">
      <c r="A140" s="60" t="str">
        <f t="shared" si="1"/>
        <v/>
      </c>
      <c r="B140" s="32"/>
      <c r="C140" s="33"/>
      <c r="D140" s="33"/>
      <c r="E140" s="33"/>
      <c r="F140" s="33"/>
      <c r="G140" s="34"/>
      <c r="H140" s="33"/>
      <c r="I140" s="61">
        <f t="array" ref="I140">IF($A140="",0,IF($H140&lt;&gt;"",IFERROR(INDEX('Bills &amp; Payments Due'!$I$7:$I$500,MATCH($H140,'Bills &amp; Payments Due'!$A$7:$A$500,0)),0),SUMIFS('Daily Transactions'!$F$6:$F$500,'Daily Transactions'!$K$6:$K$500,$O140,'Daily Transactions'!$C$6:$C$500,"Expense")))</f>
        <v>0</v>
      </c>
      <c r="J140" s="61" t="str">
        <f t="shared" si="2"/>
        <v/>
      </c>
      <c r="K140" s="60" t="str">
        <f t="shared" si="3"/>
        <v/>
      </c>
      <c r="L140" s="33"/>
      <c r="M140" s="56" t="str">
        <f t="array" ref="M140">IF($A140="","",IF(K140="Resolved",IF($H140&lt;&gt;"",IFERROR(INDEX('Bills &amp; Payments Due'!$M$7:$M$500,MATCH($H140,'Bills &amp; Payments Due'!$A$7:$A$500,0)),""),IFERROR(MAXIFS('Daily Transactions'!$A$6:$A$500,'Daily Transactions'!$K$6:$K$500,$O140,'Daily Transactions'!$C$6:$C$500,"Expense"),"")),""))</f>
        <v/>
      </c>
      <c r="N140" s="33"/>
      <c r="O140" s="26" t="str">
        <f t="shared" si="4"/>
        <v/>
      </c>
    </row>
    <row r="141" ht="15.0" customHeight="1">
      <c r="A141" s="29" t="str">
        <f t="shared" si="1"/>
        <v/>
      </c>
      <c r="B141" s="40"/>
      <c r="C141" s="16"/>
      <c r="D141" s="16"/>
      <c r="E141" s="16"/>
      <c r="F141" s="16"/>
      <c r="G141" s="41"/>
      <c r="H141" s="16"/>
      <c r="I141" s="17">
        <f t="array" ref="I141">IF($A141="",0,IF($H141&lt;&gt;"",IFERROR(INDEX('Bills &amp; Payments Due'!$I$7:$I$500,MATCH($H141,'Bills &amp; Payments Due'!$A$7:$A$500,0)),0),SUMIFS('Daily Transactions'!$F$6:$F$500,'Daily Transactions'!$K$6:$K$500,$O141,'Daily Transactions'!$C$6:$C$500,"Expense")))</f>
        <v>0</v>
      </c>
      <c r="J141" s="17" t="str">
        <f t="shared" si="2"/>
        <v/>
      </c>
      <c r="K141" s="29" t="str">
        <f t="shared" si="3"/>
        <v/>
      </c>
      <c r="L141" s="16"/>
      <c r="M141" s="49" t="str">
        <f t="array" ref="M141">IF($A141="","",IF(K141="Resolved",IF($H141&lt;&gt;"",IFERROR(INDEX('Bills &amp; Payments Due'!$M$7:$M$500,MATCH($H141,'Bills &amp; Payments Due'!$A$7:$A$500,0)),""),IFERROR(MAXIFS('Daily Transactions'!$A$6:$A$500,'Daily Transactions'!$K$6:$K$500,$O141,'Daily Transactions'!$C$6:$C$500,"Expense"),"")),""))</f>
        <v/>
      </c>
      <c r="N141" s="16"/>
      <c r="O141" s="26" t="str">
        <f t="shared" si="4"/>
        <v/>
      </c>
    </row>
    <row r="142" ht="15.0" customHeight="1">
      <c r="A142" s="60" t="str">
        <f t="shared" si="1"/>
        <v/>
      </c>
      <c r="B142" s="32"/>
      <c r="C142" s="33"/>
      <c r="D142" s="33"/>
      <c r="E142" s="33"/>
      <c r="F142" s="33"/>
      <c r="G142" s="34"/>
      <c r="H142" s="33"/>
      <c r="I142" s="61">
        <f t="array" ref="I142">IF($A142="",0,IF($H142&lt;&gt;"",IFERROR(INDEX('Bills &amp; Payments Due'!$I$7:$I$500,MATCH($H142,'Bills &amp; Payments Due'!$A$7:$A$500,0)),0),SUMIFS('Daily Transactions'!$F$6:$F$500,'Daily Transactions'!$K$6:$K$500,$O142,'Daily Transactions'!$C$6:$C$500,"Expense")))</f>
        <v>0</v>
      </c>
      <c r="J142" s="61" t="str">
        <f t="shared" si="2"/>
        <v/>
      </c>
      <c r="K142" s="60" t="str">
        <f t="shared" si="3"/>
        <v/>
      </c>
      <c r="L142" s="33"/>
      <c r="M142" s="56" t="str">
        <f t="array" ref="M142">IF($A142="","",IF(K142="Resolved",IF($H142&lt;&gt;"",IFERROR(INDEX('Bills &amp; Payments Due'!$M$7:$M$500,MATCH($H142,'Bills &amp; Payments Due'!$A$7:$A$500,0)),""),IFERROR(MAXIFS('Daily Transactions'!$A$6:$A$500,'Daily Transactions'!$K$6:$K$500,$O142,'Daily Transactions'!$C$6:$C$500,"Expense"),"")),""))</f>
        <v/>
      </c>
      <c r="N142" s="33"/>
      <c r="O142" s="26" t="str">
        <f t="shared" si="4"/>
        <v/>
      </c>
    </row>
    <row r="143" ht="15.0" customHeight="1">
      <c r="A143" s="29" t="str">
        <f t="shared" si="1"/>
        <v/>
      </c>
      <c r="B143" s="40"/>
      <c r="C143" s="16"/>
      <c r="D143" s="16"/>
      <c r="E143" s="16"/>
      <c r="F143" s="16"/>
      <c r="G143" s="41"/>
      <c r="H143" s="16"/>
      <c r="I143" s="17">
        <f t="array" ref="I143">IF($A143="",0,IF($H143&lt;&gt;"",IFERROR(INDEX('Bills &amp; Payments Due'!$I$7:$I$500,MATCH($H143,'Bills &amp; Payments Due'!$A$7:$A$500,0)),0),SUMIFS('Daily Transactions'!$F$6:$F$500,'Daily Transactions'!$K$6:$K$500,$O143,'Daily Transactions'!$C$6:$C$500,"Expense")))</f>
        <v>0</v>
      </c>
      <c r="J143" s="17" t="str">
        <f t="shared" si="2"/>
        <v/>
      </c>
      <c r="K143" s="29" t="str">
        <f t="shared" si="3"/>
        <v/>
      </c>
      <c r="L143" s="16"/>
      <c r="M143" s="49" t="str">
        <f t="array" ref="M143">IF($A143="","",IF(K143="Resolved",IF($H143&lt;&gt;"",IFERROR(INDEX('Bills &amp; Payments Due'!$M$7:$M$500,MATCH($H143,'Bills &amp; Payments Due'!$A$7:$A$500,0)),""),IFERROR(MAXIFS('Daily Transactions'!$A$6:$A$500,'Daily Transactions'!$K$6:$K$500,$O143,'Daily Transactions'!$C$6:$C$500,"Expense"),"")),""))</f>
        <v/>
      </c>
      <c r="N143" s="16"/>
      <c r="O143" s="26" t="str">
        <f t="shared" si="4"/>
        <v/>
      </c>
    </row>
    <row r="144" ht="15.0" customHeight="1">
      <c r="A144" s="60" t="str">
        <f t="shared" si="1"/>
        <v/>
      </c>
      <c r="B144" s="32"/>
      <c r="C144" s="33"/>
      <c r="D144" s="33"/>
      <c r="E144" s="33"/>
      <c r="F144" s="33"/>
      <c r="G144" s="34"/>
      <c r="H144" s="33"/>
      <c r="I144" s="61">
        <f t="array" ref="I144">IF($A144="",0,IF($H144&lt;&gt;"",IFERROR(INDEX('Bills &amp; Payments Due'!$I$7:$I$500,MATCH($H144,'Bills &amp; Payments Due'!$A$7:$A$500,0)),0),SUMIFS('Daily Transactions'!$F$6:$F$500,'Daily Transactions'!$K$6:$K$500,$O144,'Daily Transactions'!$C$6:$C$500,"Expense")))</f>
        <v>0</v>
      </c>
      <c r="J144" s="61" t="str">
        <f t="shared" si="2"/>
        <v/>
      </c>
      <c r="K144" s="60" t="str">
        <f t="shared" si="3"/>
        <v/>
      </c>
      <c r="L144" s="33"/>
      <c r="M144" s="56" t="str">
        <f t="array" ref="M144">IF($A144="","",IF(K144="Resolved",IF($H144&lt;&gt;"",IFERROR(INDEX('Bills &amp; Payments Due'!$M$7:$M$500,MATCH($H144,'Bills &amp; Payments Due'!$A$7:$A$500,0)),""),IFERROR(MAXIFS('Daily Transactions'!$A$6:$A$500,'Daily Transactions'!$K$6:$K$500,$O144,'Daily Transactions'!$C$6:$C$500,"Expense"),"")),""))</f>
        <v/>
      </c>
      <c r="N144" s="33"/>
      <c r="O144" s="26" t="str">
        <f t="shared" si="4"/>
        <v/>
      </c>
    </row>
    <row r="145" ht="15.0" customHeight="1">
      <c r="A145" s="29" t="str">
        <f t="shared" si="1"/>
        <v/>
      </c>
      <c r="B145" s="40"/>
      <c r="C145" s="16"/>
      <c r="D145" s="16"/>
      <c r="E145" s="16"/>
      <c r="F145" s="16"/>
      <c r="G145" s="41"/>
      <c r="H145" s="16"/>
      <c r="I145" s="17">
        <f t="array" ref="I145">IF($A145="",0,IF($H145&lt;&gt;"",IFERROR(INDEX('Bills &amp; Payments Due'!$I$7:$I$500,MATCH($H145,'Bills &amp; Payments Due'!$A$7:$A$500,0)),0),SUMIFS('Daily Transactions'!$F$6:$F$500,'Daily Transactions'!$K$6:$K$500,$O145,'Daily Transactions'!$C$6:$C$500,"Expense")))</f>
        <v>0</v>
      </c>
      <c r="J145" s="17" t="str">
        <f t="shared" si="2"/>
        <v/>
      </c>
      <c r="K145" s="29" t="str">
        <f t="shared" si="3"/>
        <v/>
      </c>
      <c r="L145" s="16"/>
      <c r="M145" s="49" t="str">
        <f t="array" ref="M145">IF($A145="","",IF(K145="Resolved",IF($H145&lt;&gt;"",IFERROR(INDEX('Bills &amp; Payments Due'!$M$7:$M$500,MATCH($H145,'Bills &amp; Payments Due'!$A$7:$A$500,0)),""),IFERROR(MAXIFS('Daily Transactions'!$A$6:$A$500,'Daily Transactions'!$K$6:$K$500,$O145,'Daily Transactions'!$C$6:$C$500,"Expense"),"")),""))</f>
        <v/>
      </c>
      <c r="N145" s="16"/>
      <c r="O145" s="26" t="str">
        <f t="shared" si="4"/>
        <v/>
      </c>
    </row>
    <row r="146" ht="15.0" customHeight="1">
      <c r="A146" s="60" t="str">
        <f t="shared" si="1"/>
        <v/>
      </c>
      <c r="B146" s="32"/>
      <c r="C146" s="33"/>
      <c r="D146" s="33"/>
      <c r="E146" s="33"/>
      <c r="F146" s="33"/>
      <c r="G146" s="34"/>
      <c r="H146" s="33"/>
      <c r="I146" s="61">
        <f t="array" ref="I146">IF($A146="",0,IF($H146&lt;&gt;"",IFERROR(INDEX('Bills &amp; Payments Due'!$I$7:$I$500,MATCH($H146,'Bills &amp; Payments Due'!$A$7:$A$500,0)),0),SUMIFS('Daily Transactions'!$F$6:$F$500,'Daily Transactions'!$K$6:$K$500,$O146,'Daily Transactions'!$C$6:$C$500,"Expense")))</f>
        <v>0</v>
      </c>
      <c r="J146" s="61" t="str">
        <f t="shared" si="2"/>
        <v/>
      </c>
      <c r="K146" s="60" t="str">
        <f t="shared" si="3"/>
        <v/>
      </c>
      <c r="L146" s="33"/>
      <c r="M146" s="56" t="str">
        <f t="array" ref="M146">IF($A146="","",IF(K146="Resolved",IF($H146&lt;&gt;"",IFERROR(INDEX('Bills &amp; Payments Due'!$M$7:$M$500,MATCH($H146,'Bills &amp; Payments Due'!$A$7:$A$500,0)),""),IFERROR(MAXIFS('Daily Transactions'!$A$6:$A$500,'Daily Transactions'!$K$6:$K$500,$O146,'Daily Transactions'!$C$6:$C$500,"Expense"),"")),""))</f>
        <v/>
      </c>
      <c r="N146" s="33"/>
      <c r="O146" s="26" t="str">
        <f t="shared" si="4"/>
        <v/>
      </c>
    </row>
    <row r="147" ht="15.0" customHeight="1">
      <c r="A147" s="29" t="str">
        <f t="shared" si="1"/>
        <v/>
      </c>
      <c r="B147" s="40"/>
      <c r="C147" s="16"/>
      <c r="D147" s="16"/>
      <c r="E147" s="16"/>
      <c r="F147" s="16"/>
      <c r="G147" s="41"/>
      <c r="H147" s="16"/>
      <c r="I147" s="17">
        <f t="array" ref="I147">IF($A147="",0,IF($H147&lt;&gt;"",IFERROR(INDEX('Bills &amp; Payments Due'!$I$7:$I$500,MATCH($H147,'Bills &amp; Payments Due'!$A$7:$A$500,0)),0),SUMIFS('Daily Transactions'!$F$6:$F$500,'Daily Transactions'!$K$6:$K$500,$O147,'Daily Transactions'!$C$6:$C$500,"Expense")))</f>
        <v>0</v>
      </c>
      <c r="J147" s="17" t="str">
        <f t="shared" si="2"/>
        <v/>
      </c>
      <c r="K147" s="29" t="str">
        <f t="shared" si="3"/>
        <v/>
      </c>
      <c r="L147" s="16"/>
      <c r="M147" s="49" t="str">
        <f t="array" ref="M147">IF($A147="","",IF(K147="Resolved",IF($H147&lt;&gt;"",IFERROR(INDEX('Bills &amp; Payments Due'!$M$7:$M$500,MATCH($H147,'Bills &amp; Payments Due'!$A$7:$A$500,0)),""),IFERROR(MAXIFS('Daily Transactions'!$A$6:$A$500,'Daily Transactions'!$K$6:$K$500,$O147,'Daily Transactions'!$C$6:$C$500,"Expense"),"")),""))</f>
        <v/>
      </c>
      <c r="N147" s="16"/>
      <c r="O147" s="26" t="str">
        <f t="shared" si="4"/>
        <v/>
      </c>
    </row>
    <row r="148" ht="15.0" customHeight="1">
      <c r="A148" s="60" t="str">
        <f t="shared" si="1"/>
        <v/>
      </c>
      <c r="B148" s="32"/>
      <c r="C148" s="33"/>
      <c r="D148" s="33"/>
      <c r="E148" s="33"/>
      <c r="F148" s="33"/>
      <c r="G148" s="34"/>
      <c r="H148" s="33"/>
      <c r="I148" s="61">
        <f t="array" ref="I148">IF($A148="",0,IF($H148&lt;&gt;"",IFERROR(INDEX('Bills &amp; Payments Due'!$I$7:$I$500,MATCH($H148,'Bills &amp; Payments Due'!$A$7:$A$500,0)),0),SUMIFS('Daily Transactions'!$F$6:$F$500,'Daily Transactions'!$K$6:$K$500,$O148,'Daily Transactions'!$C$6:$C$500,"Expense")))</f>
        <v>0</v>
      </c>
      <c r="J148" s="61" t="str">
        <f t="shared" si="2"/>
        <v/>
      </c>
      <c r="K148" s="60" t="str">
        <f t="shared" si="3"/>
        <v/>
      </c>
      <c r="L148" s="33"/>
      <c r="M148" s="56" t="str">
        <f t="array" ref="M148">IF($A148="","",IF(K148="Resolved",IF($H148&lt;&gt;"",IFERROR(INDEX('Bills &amp; Payments Due'!$M$7:$M$500,MATCH($H148,'Bills &amp; Payments Due'!$A$7:$A$500,0)),""),IFERROR(MAXIFS('Daily Transactions'!$A$6:$A$500,'Daily Transactions'!$K$6:$K$500,$O148,'Daily Transactions'!$C$6:$C$500,"Expense"),"")),""))</f>
        <v/>
      </c>
      <c r="N148" s="33"/>
      <c r="O148" s="26" t="str">
        <f t="shared" si="4"/>
        <v/>
      </c>
    </row>
    <row r="149" ht="15.0" customHeight="1">
      <c r="A149" s="29" t="str">
        <f t="shared" si="1"/>
        <v/>
      </c>
      <c r="B149" s="40"/>
      <c r="C149" s="16"/>
      <c r="D149" s="16"/>
      <c r="E149" s="16"/>
      <c r="F149" s="16"/>
      <c r="G149" s="41"/>
      <c r="H149" s="16"/>
      <c r="I149" s="17">
        <f t="array" ref="I149">IF($A149="",0,IF($H149&lt;&gt;"",IFERROR(INDEX('Bills &amp; Payments Due'!$I$7:$I$500,MATCH($H149,'Bills &amp; Payments Due'!$A$7:$A$500,0)),0),SUMIFS('Daily Transactions'!$F$6:$F$500,'Daily Transactions'!$K$6:$K$500,$O149,'Daily Transactions'!$C$6:$C$500,"Expense")))</f>
        <v>0</v>
      </c>
      <c r="J149" s="17" t="str">
        <f t="shared" si="2"/>
        <v/>
      </c>
      <c r="K149" s="29" t="str">
        <f t="shared" si="3"/>
        <v/>
      </c>
      <c r="L149" s="16"/>
      <c r="M149" s="49" t="str">
        <f t="array" ref="M149">IF($A149="","",IF(K149="Resolved",IF($H149&lt;&gt;"",IFERROR(INDEX('Bills &amp; Payments Due'!$M$7:$M$500,MATCH($H149,'Bills &amp; Payments Due'!$A$7:$A$500,0)),""),IFERROR(MAXIFS('Daily Transactions'!$A$6:$A$500,'Daily Transactions'!$K$6:$K$500,$O149,'Daily Transactions'!$C$6:$C$500,"Expense"),"")),""))</f>
        <v/>
      </c>
      <c r="N149" s="16"/>
      <c r="O149" s="26" t="str">
        <f t="shared" si="4"/>
        <v/>
      </c>
    </row>
    <row r="150" ht="15.0" customHeight="1">
      <c r="A150" s="60" t="str">
        <f t="shared" si="1"/>
        <v/>
      </c>
      <c r="B150" s="32"/>
      <c r="C150" s="33"/>
      <c r="D150" s="33"/>
      <c r="E150" s="33"/>
      <c r="F150" s="33"/>
      <c r="G150" s="34"/>
      <c r="H150" s="33"/>
      <c r="I150" s="61">
        <f t="array" ref="I150">IF($A150="",0,IF($H150&lt;&gt;"",IFERROR(INDEX('Bills &amp; Payments Due'!$I$7:$I$500,MATCH($H150,'Bills &amp; Payments Due'!$A$7:$A$500,0)),0),SUMIFS('Daily Transactions'!$F$6:$F$500,'Daily Transactions'!$K$6:$K$500,$O150,'Daily Transactions'!$C$6:$C$500,"Expense")))</f>
        <v>0</v>
      </c>
      <c r="J150" s="61" t="str">
        <f t="shared" si="2"/>
        <v/>
      </c>
      <c r="K150" s="60" t="str">
        <f t="shared" si="3"/>
        <v/>
      </c>
      <c r="L150" s="33"/>
      <c r="M150" s="56" t="str">
        <f t="array" ref="M150">IF($A150="","",IF(K150="Resolved",IF($H150&lt;&gt;"",IFERROR(INDEX('Bills &amp; Payments Due'!$M$7:$M$500,MATCH($H150,'Bills &amp; Payments Due'!$A$7:$A$500,0)),""),IFERROR(MAXIFS('Daily Transactions'!$A$6:$A$500,'Daily Transactions'!$K$6:$K$500,$O150,'Daily Transactions'!$C$6:$C$500,"Expense"),"")),""))</f>
        <v/>
      </c>
      <c r="N150" s="33"/>
      <c r="O150" s="26" t="str">
        <f t="shared" si="4"/>
        <v/>
      </c>
    </row>
    <row r="151" ht="15.0" customHeight="1">
      <c r="A151" s="29" t="str">
        <f t="shared" si="1"/>
        <v/>
      </c>
      <c r="B151" s="40"/>
      <c r="C151" s="16"/>
      <c r="D151" s="16"/>
      <c r="E151" s="16"/>
      <c r="F151" s="16"/>
      <c r="G151" s="41"/>
      <c r="H151" s="16"/>
      <c r="I151" s="17">
        <f t="array" ref="I151">IF($A151="",0,IF($H151&lt;&gt;"",IFERROR(INDEX('Bills &amp; Payments Due'!$I$7:$I$500,MATCH($H151,'Bills &amp; Payments Due'!$A$7:$A$500,0)),0),SUMIFS('Daily Transactions'!$F$6:$F$500,'Daily Transactions'!$K$6:$K$500,$O151,'Daily Transactions'!$C$6:$C$500,"Expense")))</f>
        <v>0</v>
      </c>
      <c r="J151" s="17" t="str">
        <f t="shared" si="2"/>
        <v/>
      </c>
      <c r="K151" s="29" t="str">
        <f t="shared" si="3"/>
        <v/>
      </c>
      <c r="L151" s="16"/>
      <c r="M151" s="49" t="str">
        <f t="array" ref="M151">IF($A151="","",IF(K151="Resolved",IF($H151&lt;&gt;"",IFERROR(INDEX('Bills &amp; Payments Due'!$M$7:$M$500,MATCH($H151,'Bills &amp; Payments Due'!$A$7:$A$500,0)),""),IFERROR(MAXIFS('Daily Transactions'!$A$6:$A$500,'Daily Transactions'!$K$6:$K$500,$O151,'Daily Transactions'!$C$6:$C$500,"Expense"),"")),""))</f>
        <v/>
      </c>
      <c r="N151" s="16"/>
      <c r="O151" s="26" t="str">
        <f t="shared" si="4"/>
        <v/>
      </c>
    </row>
    <row r="152" ht="15.0" customHeight="1">
      <c r="A152" s="60" t="str">
        <f t="shared" si="1"/>
        <v/>
      </c>
      <c r="B152" s="32"/>
      <c r="C152" s="33"/>
      <c r="D152" s="33"/>
      <c r="E152" s="33"/>
      <c r="F152" s="33"/>
      <c r="G152" s="34"/>
      <c r="H152" s="33"/>
      <c r="I152" s="61">
        <f t="array" ref="I152">IF($A152="",0,IF($H152&lt;&gt;"",IFERROR(INDEX('Bills &amp; Payments Due'!$I$7:$I$500,MATCH($H152,'Bills &amp; Payments Due'!$A$7:$A$500,0)),0),SUMIFS('Daily Transactions'!$F$6:$F$500,'Daily Transactions'!$K$6:$K$500,$O152,'Daily Transactions'!$C$6:$C$500,"Expense")))</f>
        <v>0</v>
      </c>
      <c r="J152" s="61" t="str">
        <f t="shared" si="2"/>
        <v/>
      </c>
      <c r="K152" s="60" t="str">
        <f t="shared" si="3"/>
        <v/>
      </c>
      <c r="L152" s="33"/>
      <c r="M152" s="56" t="str">
        <f t="array" ref="M152">IF($A152="","",IF(K152="Resolved",IF($H152&lt;&gt;"",IFERROR(INDEX('Bills &amp; Payments Due'!$M$7:$M$500,MATCH($H152,'Bills &amp; Payments Due'!$A$7:$A$500,0)),""),IFERROR(MAXIFS('Daily Transactions'!$A$6:$A$500,'Daily Transactions'!$K$6:$K$500,$O152,'Daily Transactions'!$C$6:$C$500,"Expense"),"")),""))</f>
        <v/>
      </c>
      <c r="N152" s="33"/>
      <c r="O152" s="26" t="str">
        <f t="shared" si="4"/>
        <v/>
      </c>
    </row>
    <row r="153" ht="15.0" customHeight="1">
      <c r="A153" s="29" t="str">
        <f t="shared" si="1"/>
        <v/>
      </c>
      <c r="B153" s="40"/>
      <c r="C153" s="16"/>
      <c r="D153" s="16"/>
      <c r="E153" s="16"/>
      <c r="F153" s="16"/>
      <c r="G153" s="41"/>
      <c r="H153" s="16"/>
      <c r="I153" s="17">
        <f t="array" ref="I153">IF($A153="",0,IF($H153&lt;&gt;"",IFERROR(INDEX('Bills &amp; Payments Due'!$I$7:$I$500,MATCH($H153,'Bills &amp; Payments Due'!$A$7:$A$500,0)),0),SUMIFS('Daily Transactions'!$F$6:$F$500,'Daily Transactions'!$K$6:$K$500,$O153,'Daily Transactions'!$C$6:$C$500,"Expense")))</f>
        <v>0</v>
      </c>
      <c r="J153" s="17" t="str">
        <f t="shared" si="2"/>
        <v/>
      </c>
      <c r="K153" s="29" t="str">
        <f t="shared" si="3"/>
        <v/>
      </c>
      <c r="L153" s="16"/>
      <c r="M153" s="49" t="str">
        <f t="array" ref="M153">IF($A153="","",IF(K153="Resolved",IF($H153&lt;&gt;"",IFERROR(INDEX('Bills &amp; Payments Due'!$M$7:$M$500,MATCH($H153,'Bills &amp; Payments Due'!$A$7:$A$500,0)),""),IFERROR(MAXIFS('Daily Transactions'!$A$6:$A$500,'Daily Transactions'!$K$6:$K$500,$O153,'Daily Transactions'!$C$6:$C$500,"Expense"),"")),""))</f>
        <v/>
      </c>
      <c r="N153" s="16"/>
      <c r="O153" s="26" t="str">
        <f t="shared" si="4"/>
        <v/>
      </c>
    </row>
    <row r="154" ht="15.0" customHeight="1">
      <c r="A154" s="60" t="str">
        <f t="shared" si="1"/>
        <v/>
      </c>
      <c r="B154" s="32"/>
      <c r="C154" s="33"/>
      <c r="D154" s="33"/>
      <c r="E154" s="33"/>
      <c r="F154" s="33"/>
      <c r="G154" s="34"/>
      <c r="H154" s="33"/>
      <c r="I154" s="61">
        <f t="array" ref="I154">IF($A154="",0,IF($H154&lt;&gt;"",IFERROR(INDEX('Bills &amp; Payments Due'!$I$7:$I$500,MATCH($H154,'Bills &amp; Payments Due'!$A$7:$A$500,0)),0),SUMIFS('Daily Transactions'!$F$6:$F$500,'Daily Transactions'!$K$6:$K$500,$O154,'Daily Transactions'!$C$6:$C$500,"Expense")))</f>
        <v>0</v>
      </c>
      <c r="J154" s="61" t="str">
        <f t="shared" si="2"/>
        <v/>
      </c>
      <c r="K154" s="60" t="str">
        <f t="shared" si="3"/>
        <v/>
      </c>
      <c r="L154" s="33"/>
      <c r="M154" s="56" t="str">
        <f t="array" ref="M154">IF($A154="","",IF(K154="Resolved",IF($H154&lt;&gt;"",IFERROR(INDEX('Bills &amp; Payments Due'!$M$7:$M$500,MATCH($H154,'Bills &amp; Payments Due'!$A$7:$A$500,0)),""),IFERROR(MAXIFS('Daily Transactions'!$A$6:$A$500,'Daily Transactions'!$K$6:$K$500,$O154,'Daily Transactions'!$C$6:$C$500,"Expense"),"")),""))</f>
        <v/>
      </c>
      <c r="N154" s="33"/>
      <c r="O154" s="26" t="str">
        <f t="shared" si="4"/>
        <v/>
      </c>
    </row>
    <row r="155" ht="15.0" customHeight="1">
      <c r="A155" s="29" t="str">
        <f t="shared" si="1"/>
        <v/>
      </c>
      <c r="B155" s="40"/>
      <c r="C155" s="16"/>
      <c r="D155" s="16"/>
      <c r="E155" s="16"/>
      <c r="F155" s="16"/>
      <c r="G155" s="41"/>
      <c r="H155" s="16"/>
      <c r="I155" s="17">
        <f t="array" ref="I155">IF($A155="",0,IF($H155&lt;&gt;"",IFERROR(INDEX('Bills &amp; Payments Due'!$I$7:$I$500,MATCH($H155,'Bills &amp; Payments Due'!$A$7:$A$500,0)),0),SUMIFS('Daily Transactions'!$F$6:$F$500,'Daily Transactions'!$K$6:$K$500,$O155,'Daily Transactions'!$C$6:$C$500,"Expense")))</f>
        <v>0</v>
      </c>
      <c r="J155" s="17" t="str">
        <f t="shared" si="2"/>
        <v/>
      </c>
      <c r="K155" s="29" t="str">
        <f t="shared" si="3"/>
        <v/>
      </c>
      <c r="L155" s="16"/>
      <c r="M155" s="49" t="str">
        <f t="array" ref="M155">IF($A155="","",IF(K155="Resolved",IF($H155&lt;&gt;"",IFERROR(INDEX('Bills &amp; Payments Due'!$M$7:$M$500,MATCH($H155,'Bills &amp; Payments Due'!$A$7:$A$500,0)),""),IFERROR(MAXIFS('Daily Transactions'!$A$6:$A$500,'Daily Transactions'!$K$6:$K$500,$O155,'Daily Transactions'!$C$6:$C$500,"Expense"),"")),""))</f>
        <v/>
      </c>
      <c r="N155" s="16"/>
      <c r="O155" s="26" t="str">
        <f t="shared" si="4"/>
        <v/>
      </c>
    </row>
    <row r="156" ht="15.0" customHeight="1">
      <c r="A156" s="60" t="str">
        <f t="shared" si="1"/>
        <v/>
      </c>
      <c r="B156" s="32"/>
      <c r="C156" s="33"/>
      <c r="D156" s="33"/>
      <c r="E156" s="33"/>
      <c r="F156" s="33"/>
      <c r="G156" s="34"/>
      <c r="H156" s="33"/>
      <c r="I156" s="61">
        <f t="array" ref="I156">IF($A156="",0,IF($H156&lt;&gt;"",IFERROR(INDEX('Bills &amp; Payments Due'!$I$7:$I$500,MATCH($H156,'Bills &amp; Payments Due'!$A$7:$A$500,0)),0),SUMIFS('Daily Transactions'!$F$6:$F$500,'Daily Transactions'!$K$6:$K$500,$O156,'Daily Transactions'!$C$6:$C$500,"Expense")))</f>
        <v>0</v>
      </c>
      <c r="J156" s="61" t="str">
        <f t="shared" si="2"/>
        <v/>
      </c>
      <c r="K156" s="60" t="str">
        <f t="shared" si="3"/>
        <v/>
      </c>
      <c r="L156" s="33"/>
      <c r="M156" s="56" t="str">
        <f t="array" ref="M156">IF($A156="","",IF(K156="Resolved",IF($H156&lt;&gt;"",IFERROR(INDEX('Bills &amp; Payments Due'!$M$7:$M$500,MATCH($H156,'Bills &amp; Payments Due'!$A$7:$A$500,0)),""),IFERROR(MAXIFS('Daily Transactions'!$A$6:$A$500,'Daily Transactions'!$K$6:$K$500,$O156,'Daily Transactions'!$C$6:$C$500,"Expense"),"")),""))</f>
        <v/>
      </c>
      <c r="N156" s="33"/>
      <c r="O156" s="26" t="str">
        <f t="shared" si="4"/>
        <v/>
      </c>
    </row>
    <row r="157" ht="15.0" customHeight="1">
      <c r="A157" s="29" t="str">
        <f t="shared" si="1"/>
        <v/>
      </c>
      <c r="B157" s="40"/>
      <c r="C157" s="16"/>
      <c r="D157" s="16"/>
      <c r="E157" s="16"/>
      <c r="F157" s="16"/>
      <c r="G157" s="41"/>
      <c r="H157" s="16"/>
      <c r="I157" s="17">
        <f t="array" ref="I157">IF($A157="",0,IF($H157&lt;&gt;"",IFERROR(INDEX('Bills &amp; Payments Due'!$I$7:$I$500,MATCH($H157,'Bills &amp; Payments Due'!$A$7:$A$500,0)),0),SUMIFS('Daily Transactions'!$F$6:$F$500,'Daily Transactions'!$K$6:$K$500,$O157,'Daily Transactions'!$C$6:$C$500,"Expense")))</f>
        <v>0</v>
      </c>
      <c r="J157" s="17" t="str">
        <f t="shared" si="2"/>
        <v/>
      </c>
      <c r="K157" s="29" t="str">
        <f t="shared" si="3"/>
        <v/>
      </c>
      <c r="L157" s="16"/>
      <c r="M157" s="49" t="str">
        <f t="array" ref="M157">IF($A157="","",IF(K157="Resolved",IF($H157&lt;&gt;"",IFERROR(INDEX('Bills &amp; Payments Due'!$M$7:$M$500,MATCH($H157,'Bills &amp; Payments Due'!$A$7:$A$500,0)),""),IFERROR(MAXIFS('Daily Transactions'!$A$6:$A$500,'Daily Transactions'!$K$6:$K$500,$O157,'Daily Transactions'!$C$6:$C$500,"Expense"),"")),""))</f>
        <v/>
      </c>
      <c r="N157" s="16"/>
      <c r="O157" s="26" t="str">
        <f t="shared" si="4"/>
        <v/>
      </c>
    </row>
    <row r="158" ht="15.0" customHeight="1">
      <c r="A158" s="60" t="str">
        <f t="shared" si="1"/>
        <v/>
      </c>
      <c r="B158" s="32"/>
      <c r="C158" s="33"/>
      <c r="D158" s="33"/>
      <c r="E158" s="33"/>
      <c r="F158" s="33"/>
      <c r="G158" s="34"/>
      <c r="H158" s="33"/>
      <c r="I158" s="61">
        <f t="array" ref="I158">IF($A158="",0,IF($H158&lt;&gt;"",IFERROR(INDEX('Bills &amp; Payments Due'!$I$7:$I$500,MATCH($H158,'Bills &amp; Payments Due'!$A$7:$A$500,0)),0),SUMIFS('Daily Transactions'!$F$6:$F$500,'Daily Transactions'!$K$6:$K$500,$O158,'Daily Transactions'!$C$6:$C$500,"Expense")))</f>
        <v>0</v>
      </c>
      <c r="J158" s="61" t="str">
        <f t="shared" si="2"/>
        <v/>
      </c>
      <c r="K158" s="60" t="str">
        <f t="shared" si="3"/>
        <v/>
      </c>
      <c r="L158" s="33"/>
      <c r="M158" s="56" t="str">
        <f t="array" ref="M158">IF($A158="","",IF(K158="Resolved",IF($H158&lt;&gt;"",IFERROR(INDEX('Bills &amp; Payments Due'!$M$7:$M$500,MATCH($H158,'Bills &amp; Payments Due'!$A$7:$A$500,0)),""),IFERROR(MAXIFS('Daily Transactions'!$A$6:$A$500,'Daily Transactions'!$K$6:$K$500,$O158,'Daily Transactions'!$C$6:$C$500,"Expense"),"")),""))</f>
        <v/>
      </c>
      <c r="N158" s="33"/>
      <c r="O158" s="26" t="str">
        <f t="shared" si="4"/>
        <v/>
      </c>
    </row>
    <row r="159" ht="15.0" customHeight="1">
      <c r="A159" s="29" t="str">
        <f t="shared" si="1"/>
        <v/>
      </c>
      <c r="B159" s="40"/>
      <c r="C159" s="16"/>
      <c r="D159" s="16"/>
      <c r="E159" s="16"/>
      <c r="F159" s="16"/>
      <c r="G159" s="41"/>
      <c r="H159" s="16"/>
      <c r="I159" s="17">
        <f t="array" ref="I159">IF($A159="",0,IF($H159&lt;&gt;"",IFERROR(INDEX('Bills &amp; Payments Due'!$I$7:$I$500,MATCH($H159,'Bills &amp; Payments Due'!$A$7:$A$500,0)),0),SUMIFS('Daily Transactions'!$F$6:$F$500,'Daily Transactions'!$K$6:$K$500,$O159,'Daily Transactions'!$C$6:$C$500,"Expense")))</f>
        <v>0</v>
      </c>
      <c r="J159" s="17" t="str">
        <f t="shared" si="2"/>
        <v/>
      </c>
      <c r="K159" s="29" t="str">
        <f t="shared" si="3"/>
        <v/>
      </c>
      <c r="L159" s="16"/>
      <c r="M159" s="49" t="str">
        <f t="array" ref="M159">IF($A159="","",IF(K159="Resolved",IF($H159&lt;&gt;"",IFERROR(INDEX('Bills &amp; Payments Due'!$M$7:$M$500,MATCH($H159,'Bills &amp; Payments Due'!$A$7:$A$500,0)),""),IFERROR(MAXIFS('Daily Transactions'!$A$6:$A$500,'Daily Transactions'!$K$6:$K$500,$O159,'Daily Transactions'!$C$6:$C$500,"Expense"),"")),""))</f>
        <v/>
      </c>
      <c r="N159" s="16"/>
      <c r="O159" s="26" t="str">
        <f t="shared" si="4"/>
        <v/>
      </c>
    </row>
    <row r="160" ht="15.0" customHeight="1">
      <c r="A160" s="60" t="str">
        <f t="shared" si="1"/>
        <v/>
      </c>
      <c r="B160" s="32"/>
      <c r="C160" s="33"/>
      <c r="D160" s="33"/>
      <c r="E160" s="33"/>
      <c r="F160" s="33"/>
      <c r="G160" s="34"/>
      <c r="H160" s="33"/>
      <c r="I160" s="61">
        <f t="array" ref="I160">IF($A160="",0,IF($H160&lt;&gt;"",IFERROR(INDEX('Bills &amp; Payments Due'!$I$7:$I$500,MATCH($H160,'Bills &amp; Payments Due'!$A$7:$A$500,0)),0),SUMIFS('Daily Transactions'!$F$6:$F$500,'Daily Transactions'!$K$6:$K$500,$O160,'Daily Transactions'!$C$6:$C$500,"Expense")))</f>
        <v>0</v>
      </c>
      <c r="J160" s="61" t="str">
        <f t="shared" si="2"/>
        <v/>
      </c>
      <c r="K160" s="60" t="str">
        <f t="shared" si="3"/>
        <v/>
      </c>
      <c r="L160" s="33"/>
      <c r="M160" s="56" t="str">
        <f t="array" ref="M160">IF($A160="","",IF(K160="Resolved",IF($H160&lt;&gt;"",IFERROR(INDEX('Bills &amp; Payments Due'!$M$7:$M$500,MATCH($H160,'Bills &amp; Payments Due'!$A$7:$A$500,0)),""),IFERROR(MAXIFS('Daily Transactions'!$A$6:$A$500,'Daily Transactions'!$K$6:$K$500,$O160,'Daily Transactions'!$C$6:$C$500,"Expense"),"")),""))</f>
        <v/>
      </c>
      <c r="N160" s="33"/>
      <c r="O160" s="26" t="str">
        <f t="shared" si="4"/>
        <v/>
      </c>
    </row>
    <row r="161" ht="15.0" customHeight="1">
      <c r="A161" s="29" t="str">
        <f t="shared" si="1"/>
        <v/>
      </c>
      <c r="B161" s="40"/>
      <c r="C161" s="16"/>
      <c r="D161" s="16"/>
      <c r="E161" s="16"/>
      <c r="F161" s="16"/>
      <c r="G161" s="41"/>
      <c r="H161" s="16"/>
      <c r="I161" s="17">
        <f t="array" ref="I161">IF($A161="",0,IF($H161&lt;&gt;"",IFERROR(INDEX('Bills &amp; Payments Due'!$I$7:$I$500,MATCH($H161,'Bills &amp; Payments Due'!$A$7:$A$500,0)),0),SUMIFS('Daily Transactions'!$F$6:$F$500,'Daily Transactions'!$K$6:$K$500,$O161,'Daily Transactions'!$C$6:$C$500,"Expense")))</f>
        <v>0</v>
      </c>
      <c r="J161" s="17" t="str">
        <f t="shared" si="2"/>
        <v/>
      </c>
      <c r="K161" s="29" t="str">
        <f t="shared" si="3"/>
        <v/>
      </c>
      <c r="L161" s="16"/>
      <c r="M161" s="49" t="str">
        <f t="array" ref="M161">IF($A161="","",IF(K161="Resolved",IF($H161&lt;&gt;"",IFERROR(INDEX('Bills &amp; Payments Due'!$M$7:$M$500,MATCH($H161,'Bills &amp; Payments Due'!$A$7:$A$500,0)),""),IFERROR(MAXIFS('Daily Transactions'!$A$6:$A$500,'Daily Transactions'!$K$6:$K$500,$O161,'Daily Transactions'!$C$6:$C$500,"Expense"),"")),""))</f>
        <v/>
      </c>
      <c r="N161" s="16"/>
      <c r="O161" s="26" t="str">
        <f t="shared" si="4"/>
        <v/>
      </c>
    </row>
    <row r="162" ht="15.0" customHeight="1">
      <c r="A162" s="60" t="str">
        <f t="shared" si="1"/>
        <v/>
      </c>
      <c r="B162" s="32"/>
      <c r="C162" s="33"/>
      <c r="D162" s="33"/>
      <c r="E162" s="33"/>
      <c r="F162" s="33"/>
      <c r="G162" s="34"/>
      <c r="H162" s="33"/>
      <c r="I162" s="61">
        <f t="array" ref="I162">IF($A162="",0,IF($H162&lt;&gt;"",IFERROR(INDEX('Bills &amp; Payments Due'!$I$7:$I$500,MATCH($H162,'Bills &amp; Payments Due'!$A$7:$A$500,0)),0),SUMIFS('Daily Transactions'!$F$6:$F$500,'Daily Transactions'!$K$6:$K$500,$O162,'Daily Transactions'!$C$6:$C$500,"Expense")))</f>
        <v>0</v>
      </c>
      <c r="J162" s="61" t="str">
        <f t="shared" si="2"/>
        <v/>
      </c>
      <c r="K162" s="60" t="str">
        <f t="shared" si="3"/>
        <v/>
      </c>
      <c r="L162" s="33"/>
      <c r="M162" s="56" t="str">
        <f t="array" ref="M162">IF($A162="","",IF(K162="Resolved",IF($H162&lt;&gt;"",IFERROR(INDEX('Bills &amp; Payments Due'!$M$7:$M$500,MATCH($H162,'Bills &amp; Payments Due'!$A$7:$A$500,0)),""),IFERROR(MAXIFS('Daily Transactions'!$A$6:$A$500,'Daily Transactions'!$K$6:$K$500,$O162,'Daily Transactions'!$C$6:$C$500,"Expense"),"")),""))</f>
        <v/>
      </c>
      <c r="N162" s="33"/>
      <c r="O162" s="26" t="str">
        <f t="shared" si="4"/>
        <v/>
      </c>
    </row>
    <row r="163" ht="15.0" customHeight="1">
      <c r="A163" s="29" t="str">
        <f t="shared" si="1"/>
        <v/>
      </c>
      <c r="B163" s="40"/>
      <c r="C163" s="16"/>
      <c r="D163" s="16"/>
      <c r="E163" s="16"/>
      <c r="F163" s="16"/>
      <c r="G163" s="41"/>
      <c r="H163" s="16"/>
      <c r="I163" s="17">
        <f t="array" ref="I163">IF($A163="",0,IF($H163&lt;&gt;"",IFERROR(INDEX('Bills &amp; Payments Due'!$I$7:$I$500,MATCH($H163,'Bills &amp; Payments Due'!$A$7:$A$500,0)),0),SUMIFS('Daily Transactions'!$F$6:$F$500,'Daily Transactions'!$K$6:$K$500,$O163,'Daily Transactions'!$C$6:$C$500,"Expense")))</f>
        <v>0</v>
      </c>
      <c r="J163" s="17" t="str">
        <f t="shared" si="2"/>
        <v/>
      </c>
      <c r="K163" s="29" t="str">
        <f t="shared" si="3"/>
        <v/>
      </c>
      <c r="L163" s="16"/>
      <c r="M163" s="49" t="str">
        <f t="array" ref="M163">IF($A163="","",IF(K163="Resolved",IF($H163&lt;&gt;"",IFERROR(INDEX('Bills &amp; Payments Due'!$M$7:$M$500,MATCH($H163,'Bills &amp; Payments Due'!$A$7:$A$500,0)),""),IFERROR(MAXIFS('Daily Transactions'!$A$6:$A$500,'Daily Transactions'!$K$6:$K$500,$O163,'Daily Transactions'!$C$6:$C$500,"Expense"),"")),""))</f>
        <v/>
      </c>
      <c r="N163" s="16"/>
      <c r="O163" s="26" t="str">
        <f t="shared" si="4"/>
        <v/>
      </c>
    </row>
    <row r="164" ht="15.0" customHeight="1">
      <c r="A164" s="60" t="str">
        <f t="shared" si="1"/>
        <v/>
      </c>
      <c r="B164" s="32"/>
      <c r="C164" s="33"/>
      <c r="D164" s="33"/>
      <c r="E164" s="33"/>
      <c r="F164" s="33"/>
      <c r="G164" s="34"/>
      <c r="H164" s="33"/>
      <c r="I164" s="61">
        <f t="array" ref="I164">IF($A164="",0,IF($H164&lt;&gt;"",IFERROR(INDEX('Bills &amp; Payments Due'!$I$7:$I$500,MATCH($H164,'Bills &amp; Payments Due'!$A$7:$A$500,0)),0),SUMIFS('Daily Transactions'!$F$6:$F$500,'Daily Transactions'!$K$6:$K$500,$O164,'Daily Transactions'!$C$6:$C$500,"Expense")))</f>
        <v>0</v>
      </c>
      <c r="J164" s="61" t="str">
        <f t="shared" si="2"/>
        <v/>
      </c>
      <c r="K164" s="60" t="str">
        <f t="shared" si="3"/>
        <v/>
      </c>
      <c r="L164" s="33"/>
      <c r="M164" s="56" t="str">
        <f t="array" ref="M164">IF($A164="","",IF(K164="Resolved",IF($H164&lt;&gt;"",IFERROR(INDEX('Bills &amp; Payments Due'!$M$7:$M$500,MATCH($H164,'Bills &amp; Payments Due'!$A$7:$A$500,0)),""),IFERROR(MAXIFS('Daily Transactions'!$A$6:$A$500,'Daily Transactions'!$K$6:$K$500,$O164,'Daily Transactions'!$C$6:$C$500,"Expense"),"")),""))</f>
        <v/>
      </c>
      <c r="N164" s="33"/>
      <c r="O164" s="26" t="str">
        <f t="shared" si="4"/>
        <v/>
      </c>
    </row>
    <row r="165" ht="15.0" customHeight="1">
      <c r="A165" s="29" t="str">
        <f t="shared" si="1"/>
        <v/>
      </c>
      <c r="B165" s="40"/>
      <c r="C165" s="16"/>
      <c r="D165" s="16"/>
      <c r="E165" s="16"/>
      <c r="F165" s="16"/>
      <c r="G165" s="41"/>
      <c r="H165" s="16"/>
      <c r="I165" s="17">
        <f t="array" ref="I165">IF($A165="",0,IF($H165&lt;&gt;"",IFERROR(INDEX('Bills &amp; Payments Due'!$I$7:$I$500,MATCH($H165,'Bills &amp; Payments Due'!$A$7:$A$500,0)),0),SUMIFS('Daily Transactions'!$F$6:$F$500,'Daily Transactions'!$K$6:$K$500,$O165,'Daily Transactions'!$C$6:$C$500,"Expense")))</f>
        <v>0</v>
      </c>
      <c r="J165" s="17" t="str">
        <f t="shared" si="2"/>
        <v/>
      </c>
      <c r="K165" s="29" t="str">
        <f t="shared" si="3"/>
        <v/>
      </c>
      <c r="L165" s="16"/>
      <c r="M165" s="49" t="str">
        <f t="array" ref="M165">IF($A165="","",IF(K165="Resolved",IF($H165&lt;&gt;"",IFERROR(INDEX('Bills &amp; Payments Due'!$M$7:$M$500,MATCH($H165,'Bills &amp; Payments Due'!$A$7:$A$500,0)),""),IFERROR(MAXIFS('Daily Transactions'!$A$6:$A$500,'Daily Transactions'!$K$6:$K$500,$O165,'Daily Transactions'!$C$6:$C$500,"Expense"),"")),""))</f>
        <v/>
      </c>
      <c r="N165" s="16"/>
      <c r="O165" s="26" t="str">
        <f t="shared" si="4"/>
        <v/>
      </c>
    </row>
    <row r="166" ht="15.0" customHeight="1">
      <c r="A166" s="60" t="str">
        <f t="shared" si="1"/>
        <v/>
      </c>
      <c r="B166" s="32"/>
      <c r="C166" s="33"/>
      <c r="D166" s="33"/>
      <c r="E166" s="33"/>
      <c r="F166" s="33"/>
      <c r="G166" s="34"/>
      <c r="H166" s="33"/>
      <c r="I166" s="61">
        <f t="array" ref="I166">IF($A166="",0,IF($H166&lt;&gt;"",IFERROR(INDEX('Bills &amp; Payments Due'!$I$7:$I$500,MATCH($H166,'Bills &amp; Payments Due'!$A$7:$A$500,0)),0),SUMIFS('Daily Transactions'!$F$6:$F$500,'Daily Transactions'!$K$6:$K$500,$O166,'Daily Transactions'!$C$6:$C$500,"Expense")))</f>
        <v>0</v>
      </c>
      <c r="J166" s="61" t="str">
        <f t="shared" si="2"/>
        <v/>
      </c>
      <c r="K166" s="60" t="str">
        <f t="shared" si="3"/>
        <v/>
      </c>
      <c r="L166" s="33"/>
      <c r="M166" s="56" t="str">
        <f t="array" ref="M166">IF($A166="","",IF(K166="Resolved",IF($H166&lt;&gt;"",IFERROR(INDEX('Bills &amp; Payments Due'!$M$7:$M$500,MATCH($H166,'Bills &amp; Payments Due'!$A$7:$A$500,0)),""),IFERROR(MAXIFS('Daily Transactions'!$A$6:$A$500,'Daily Transactions'!$K$6:$K$500,$O166,'Daily Transactions'!$C$6:$C$500,"Expense"),"")),""))</f>
        <v/>
      </c>
      <c r="N166" s="33"/>
      <c r="O166" s="26" t="str">
        <f t="shared" si="4"/>
        <v/>
      </c>
    </row>
    <row r="167" ht="15.0" customHeight="1">
      <c r="A167" s="29" t="str">
        <f t="shared" si="1"/>
        <v/>
      </c>
      <c r="B167" s="40"/>
      <c r="C167" s="16"/>
      <c r="D167" s="16"/>
      <c r="E167" s="16"/>
      <c r="F167" s="16"/>
      <c r="G167" s="41"/>
      <c r="H167" s="16"/>
      <c r="I167" s="17">
        <f t="array" ref="I167">IF($A167="",0,IF($H167&lt;&gt;"",IFERROR(INDEX('Bills &amp; Payments Due'!$I$7:$I$500,MATCH($H167,'Bills &amp; Payments Due'!$A$7:$A$500,0)),0),SUMIFS('Daily Transactions'!$F$6:$F$500,'Daily Transactions'!$K$6:$K$500,$O167,'Daily Transactions'!$C$6:$C$500,"Expense")))</f>
        <v>0</v>
      </c>
      <c r="J167" s="17" t="str">
        <f t="shared" si="2"/>
        <v/>
      </c>
      <c r="K167" s="29" t="str">
        <f t="shared" si="3"/>
        <v/>
      </c>
      <c r="L167" s="16"/>
      <c r="M167" s="49" t="str">
        <f t="array" ref="M167">IF($A167="","",IF(K167="Resolved",IF($H167&lt;&gt;"",IFERROR(INDEX('Bills &amp; Payments Due'!$M$7:$M$500,MATCH($H167,'Bills &amp; Payments Due'!$A$7:$A$500,0)),""),IFERROR(MAXIFS('Daily Transactions'!$A$6:$A$500,'Daily Transactions'!$K$6:$K$500,$O167,'Daily Transactions'!$C$6:$C$500,"Expense"),"")),""))</f>
        <v/>
      </c>
      <c r="N167" s="16"/>
      <c r="O167" s="26" t="str">
        <f t="shared" si="4"/>
        <v/>
      </c>
    </row>
    <row r="168" ht="15.0" customHeight="1">
      <c r="A168" s="60" t="str">
        <f t="shared" si="1"/>
        <v/>
      </c>
      <c r="B168" s="32"/>
      <c r="C168" s="33"/>
      <c r="D168" s="33"/>
      <c r="E168" s="33"/>
      <c r="F168" s="33"/>
      <c r="G168" s="34"/>
      <c r="H168" s="33"/>
      <c r="I168" s="61">
        <f t="array" ref="I168">IF($A168="",0,IF($H168&lt;&gt;"",IFERROR(INDEX('Bills &amp; Payments Due'!$I$7:$I$500,MATCH($H168,'Bills &amp; Payments Due'!$A$7:$A$500,0)),0),SUMIFS('Daily Transactions'!$F$6:$F$500,'Daily Transactions'!$K$6:$K$500,$O168,'Daily Transactions'!$C$6:$C$500,"Expense")))</f>
        <v>0</v>
      </c>
      <c r="J168" s="61" t="str">
        <f t="shared" si="2"/>
        <v/>
      </c>
      <c r="K168" s="60" t="str">
        <f t="shared" si="3"/>
        <v/>
      </c>
      <c r="L168" s="33"/>
      <c r="M168" s="56" t="str">
        <f t="array" ref="M168">IF($A168="","",IF(K168="Resolved",IF($H168&lt;&gt;"",IFERROR(INDEX('Bills &amp; Payments Due'!$M$7:$M$500,MATCH($H168,'Bills &amp; Payments Due'!$A$7:$A$500,0)),""),IFERROR(MAXIFS('Daily Transactions'!$A$6:$A$500,'Daily Transactions'!$K$6:$K$500,$O168,'Daily Transactions'!$C$6:$C$500,"Expense"),"")),""))</f>
        <v/>
      </c>
      <c r="N168" s="33"/>
      <c r="O168" s="26" t="str">
        <f t="shared" si="4"/>
        <v/>
      </c>
    </row>
    <row r="169" ht="15.0" customHeight="1">
      <c r="A169" s="29" t="str">
        <f t="shared" si="1"/>
        <v/>
      </c>
      <c r="B169" s="40"/>
      <c r="C169" s="16"/>
      <c r="D169" s="16"/>
      <c r="E169" s="16"/>
      <c r="F169" s="16"/>
      <c r="G169" s="41"/>
      <c r="H169" s="16"/>
      <c r="I169" s="17">
        <f t="array" ref="I169">IF($A169="",0,IF($H169&lt;&gt;"",IFERROR(INDEX('Bills &amp; Payments Due'!$I$7:$I$500,MATCH($H169,'Bills &amp; Payments Due'!$A$7:$A$500,0)),0),SUMIFS('Daily Transactions'!$F$6:$F$500,'Daily Transactions'!$K$6:$K$500,$O169,'Daily Transactions'!$C$6:$C$500,"Expense")))</f>
        <v>0</v>
      </c>
      <c r="J169" s="17" t="str">
        <f t="shared" si="2"/>
        <v/>
      </c>
      <c r="K169" s="29" t="str">
        <f t="shared" si="3"/>
        <v/>
      </c>
      <c r="L169" s="16"/>
      <c r="M169" s="49" t="str">
        <f t="array" ref="M169">IF($A169="","",IF(K169="Resolved",IF($H169&lt;&gt;"",IFERROR(INDEX('Bills &amp; Payments Due'!$M$7:$M$500,MATCH($H169,'Bills &amp; Payments Due'!$A$7:$A$500,0)),""),IFERROR(MAXIFS('Daily Transactions'!$A$6:$A$500,'Daily Transactions'!$K$6:$K$500,$O169,'Daily Transactions'!$C$6:$C$500,"Expense"),"")),""))</f>
        <v/>
      </c>
      <c r="N169" s="16"/>
      <c r="O169" s="26" t="str">
        <f t="shared" si="4"/>
        <v/>
      </c>
    </row>
    <row r="170" ht="15.0" customHeight="1">
      <c r="A170" s="60" t="str">
        <f t="shared" si="1"/>
        <v/>
      </c>
      <c r="B170" s="32"/>
      <c r="C170" s="33"/>
      <c r="D170" s="33"/>
      <c r="E170" s="33"/>
      <c r="F170" s="33"/>
      <c r="G170" s="34"/>
      <c r="H170" s="33"/>
      <c r="I170" s="61">
        <f t="array" ref="I170">IF($A170="",0,IF($H170&lt;&gt;"",IFERROR(INDEX('Bills &amp; Payments Due'!$I$7:$I$500,MATCH($H170,'Bills &amp; Payments Due'!$A$7:$A$500,0)),0),SUMIFS('Daily Transactions'!$F$6:$F$500,'Daily Transactions'!$K$6:$K$500,$O170,'Daily Transactions'!$C$6:$C$500,"Expense")))</f>
        <v>0</v>
      </c>
      <c r="J170" s="61" t="str">
        <f t="shared" si="2"/>
        <v/>
      </c>
      <c r="K170" s="60" t="str">
        <f t="shared" si="3"/>
        <v/>
      </c>
      <c r="L170" s="33"/>
      <c r="M170" s="56" t="str">
        <f t="array" ref="M170">IF($A170="","",IF(K170="Resolved",IF($H170&lt;&gt;"",IFERROR(INDEX('Bills &amp; Payments Due'!$M$7:$M$500,MATCH($H170,'Bills &amp; Payments Due'!$A$7:$A$500,0)),""),IFERROR(MAXIFS('Daily Transactions'!$A$6:$A$500,'Daily Transactions'!$K$6:$K$500,$O170,'Daily Transactions'!$C$6:$C$500,"Expense"),"")),""))</f>
        <v/>
      </c>
      <c r="N170" s="33"/>
      <c r="O170" s="26" t="str">
        <f t="shared" si="4"/>
        <v/>
      </c>
    </row>
    <row r="171" ht="15.0" customHeight="1">
      <c r="A171" s="29" t="str">
        <f t="shared" si="1"/>
        <v/>
      </c>
      <c r="B171" s="40"/>
      <c r="C171" s="16"/>
      <c r="D171" s="16"/>
      <c r="E171" s="16"/>
      <c r="F171" s="16"/>
      <c r="G171" s="41"/>
      <c r="H171" s="16"/>
      <c r="I171" s="17">
        <f t="array" ref="I171">IF($A171="",0,IF($H171&lt;&gt;"",IFERROR(INDEX('Bills &amp; Payments Due'!$I$7:$I$500,MATCH($H171,'Bills &amp; Payments Due'!$A$7:$A$500,0)),0),SUMIFS('Daily Transactions'!$F$6:$F$500,'Daily Transactions'!$K$6:$K$500,$O171,'Daily Transactions'!$C$6:$C$500,"Expense")))</f>
        <v>0</v>
      </c>
      <c r="J171" s="17" t="str">
        <f t="shared" si="2"/>
        <v/>
      </c>
      <c r="K171" s="29" t="str">
        <f t="shared" si="3"/>
        <v/>
      </c>
      <c r="L171" s="16"/>
      <c r="M171" s="49" t="str">
        <f t="array" ref="M171">IF($A171="","",IF(K171="Resolved",IF($H171&lt;&gt;"",IFERROR(INDEX('Bills &amp; Payments Due'!$M$7:$M$500,MATCH($H171,'Bills &amp; Payments Due'!$A$7:$A$500,0)),""),IFERROR(MAXIFS('Daily Transactions'!$A$6:$A$500,'Daily Transactions'!$K$6:$K$500,$O171,'Daily Transactions'!$C$6:$C$500,"Expense"),"")),""))</f>
        <v/>
      </c>
      <c r="N171" s="16"/>
      <c r="O171" s="26" t="str">
        <f t="shared" si="4"/>
        <v/>
      </c>
    </row>
    <row r="172" ht="15.0" customHeight="1">
      <c r="A172" s="60" t="str">
        <f t="shared" si="1"/>
        <v/>
      </c>
      <c r="B172" s="32"/>
      <c r="C172" s="33"/>
      <c r="D172" s="33"/>
      <c r="E172" s="33"/>
      <c r="F172" s="33"/>
      <c r="G172" s="34"/>
      <c r="H172" s="33"/>
      <c r="I172" s="61">
        <f t="array" ref="I172">IF($A172="",0,IF($H172&lt;&gt;"",IFERROR(INDEX('Bills &amp; Payments Due'!$I$7:$I$500,MATCH($H172,'Bills &amp; Payments Due'!$A$7:$A$500,0)),0),SUMIFS('Daily Transactions'!$F$6:$F$500,'Daily Transactions'!$K$6:$K$500,$O172,'Daily Transactions'!$C$6:$C$500,"Expense")))</f>
        <v>0</v>
      </c>
      <c r="J172" s="61" t="str">
        <f t="shared" si="2"/>
        <v/>
      </c>
      <c r="K172" s="60" t="str">
        <f t="shared" si="3"/>
        <v/>
      </c>
      <c r="L172" s="33"/>
      <c r="M172" s="56" t="str">
        <f t="array" ref="M172">IF($A172="","",IF(K172="Resolved",IF($H172&lt;&gt;"",IFERROR(INDEX('Bills &amp; Payments Due'!$M$7:$M$500,MATCH($H172,'Bills &amp; Payments Due'!$A$7:$A$500,0)),""),IFERROR(MAXIFS('Daily Transactions'!$A$6:$A$500,'Daily Transactions'!$K$6:$K$500,$O172,'Daily Transactions'!$C$6:$C$500,"Expense"),"")),""))</f>
        <v/>
      </c>
      <c r="N172" s="33"/>
      <c r="O172" s="26" t="str">
        <f t="shared" si="4"/>
        <v/>
      </c>
    </row>
    <row r="173" ht="15.0" customHeight="1">
      <c r="A173" s="29" t="str">
        <f t="shared" si="1"/>
        <v/>
      </c>
      <c r="B173" s="40"/>
      <c r="C173" s="16"/>
      <c r="D173" s="16"/>
      <c r="E173" s="16"/>
      <c r="F173" s="16"/>
      <c r="G173" s="41"/>
      <c r="H173" s="16"/>
      <c r="I173" s="17">
        <f t="array" ref="I173">IF($A173="",0,IF($H173&lt;&gt;"",IFERROR(INDEX('Bills &amp; Payments Due'!$I$7:$I$500,MATCH($H173,'Bills &amp; Payments Due'!$A$7:$A$500,0)),0),SUMIFS('Daily Transactions'!$F$6:$F$500,'Daily Transactions'!$K$6:$K$500,$O173,'Daily Transactions'!$C$6:$C$500,"Expense")))</f>
        <v>0</v>
      </c>
      <c r="J173" s="17" t="str">
        <f t="shared" si="2"/>
        <v/>
      </c>
      <c r="K173" s="29" t="str">
        <f t="shared" si="3"/>
        <v/>
      </c>
      <c r="L173" s="16"/>
      <c r="M173" s="49" t="str">
        <f t="array" ref="M173">IF($A173="","",IF(K173="Resolved",IF($H173&lt;&gt;"",IFERROR(INDEX('Bills &amp; Payments Due'!$M$7:$M$500,MATCH($H173,'Bills &amp; Payments Due'!$A$7:$A$500,0)),""),IFERROR(MAXIFS('Daily Transactions'!$A$6:$A$500,'Daily Transactions'!$K$6:$K$500,$O173,'Daily Transactions'!$C$6:$C$500,"Expense"),"")),""))</f>
        <v/>
      </c>
      <c r="N173" s="16"/>
      <c r="O173" s="26" t="str">
        <f t="shared" si="4"/>
        <v/>
      </c>
    </row>
    <row r="174" ht="15.0" customHeight="1">
      <c r="A174" s="60" t="str">
        <f t="shared" si="1"/>
        <v/>
      </c>
      <c r="B174" s="32"/>
      <c r="C174" s="33"/>
      <c r="D174" s="33"/>
      <c r="E174" s="33"/>
      <c r="F174" s="33"/>
      <c r="G174" s="34"/>
      <c r="H174" s="33"/>
      <c r="I174" s="61">
        <f t="array" ref="I174">IF($A174="",0,IF($H174&lt;&gt;"",IFERROR(INDEX('Bills &amp; Payments Due'!$I$7:$I$500,MATCH($H174,'Bills &amp; Payments Due'!$A$7:$A$500,0)),0),SUMIFS('Daily Transactions'!$F$6:$F$500,'Daily Transactions'!$K$6:$K$500,$O174,'Daily Transactions'!$C$6:$C$500,"Expense")))</f>
        <v>0</v>
      </c>
      <c r="J174" s="61" t="str">
        <f t="shared" si="2"/>
        <v/>
      </c>
      <c r="K174" s="60" t="str">
        <f t="shared" si="3"/>
        <v/>
      </c>
      <c r="L174" s="33"/>
      <c r="M174" s="56" t="str">
        <f t="array" ref="M174">IF($A174="","",IF(K174="Resolved",IF($H174&lt;&gt;"",IFERROR(INDEX('Bills &amp; Payments Due'!$M$7:$M$500,MATCH($H174,'Bills &amp; Payments Due'!$A$7:$A$500,0)),""),IFERROR(MAXIFS('Daily Transactions'!$A$6:$A$500,'Daily Transactions'!$K$6:$K$500,$O174,'Daily Transactions'!$C$6:$C$500,"Expense"),"")),""))</f>
        <v/>
      </c>
      <c r="N174" s="33"/>
      <c r="O174" s="26" t="str">
        <f t="shared" si="4"/>
        <v/>
      </c>
    </row>
    <row r="175" ht="15.0" customHeight="1">
      <c r="A175" s="29" t="str">
        <f t="shared" si="1"/>
        <v/>
      </c>
      <c r="B175" s="40"/>
      <c r="C175" s="16"/>
      <c r="D175" s="16"/>
      <c r="E175" s="16"/>
      <c r="F175" s="16"/>
      <c r="G175" s="41"/>
      <c r="H175" s="16"/>
      <c r="I175" s="17">
        <f t="array" ref="I175">IF($A175="",0,IF($H175&lt;&gt;"",IFERROR(INDEX('Bills &amp; Payments Due'!$I$7:$I$500,MATCH($H175,'Bills &amp; Payments Due'!$A$7:$A$500,0)),0),SUMIFS('Daily Transactions'!$F$6:$F$500,'Daily Transactions'!$K$6:$K$500,$O175,'Daily Transactions'!$C$6:$C$500,"Expense")))</f>
        <v>0</v>
      </c>
      <c r="J175" s="17" t="str">
        <f t="shared" si="2"/>
        <v/>
      </c>
      <c r="K175" s="29" t="str">
        <f t="shared" si="3"/>
        <v/>
      </c>
      <c r="L175" s="16"/>
      <c r="M175" s="49" t="str">
        <f t="array" ref="M175">IF($A175="","",IF(K175="Resolved",IF($H175&lt;&gt;"",IFERROR(INDEX('Bills &amp; Payments Due'!$M$7:$M$500,MATCH($H175,'Bills &amp; Payments Due'!$A$7:$A$500,0)),""),IFERROR(MAXIFS('Daily Transactions'!$A$6:$A$500,'Daily Transactions'!$K$6:$K$500,$O175,'Daily Transactions'!$C$6:$C$500,"Expense"),"")),""))</f>
        <v/>
      </c>
      <c r="N175" s="16"/>
      <c r="O175" s="26" t="str">
        <f t="shared" si="4"/>
        <v/>
      </c>
    </row>
    <row r="176" ht="15.0" customHeight="1">
      <c r="A176" s="60" t="str">
        <f t="shared" si="1"/>
        <v/>
      </c>
      <c r="B176" s="32"/>
      <c r="C176" s="33"/>
      <c r="D176" s="33"/>
      <c r="E176" s="33"/>
      <c r="F176" s="33"/>
      <c r="G176" s="34"/>
      <c r="H176" s="33"/>
      <c r="I176" s="61">
        <f t="array" ref="I176">IF($A176="",0,IF($H176&lt;&gt;"",IFERROR(INDEX('Bills &amp; Payments Due'!$I$7:$I$500,MATCH($H176,'Bills &amp; Payments Due'!$A$7:$A$500,0)),0),SUMIFS('Daily Transactions'!$F$6:$F$500,'Daily Transactions'!$K$6:$K$500,$O176,'Daily Transactions'!$C$6:$C$500,"Expense")))</f>
        <v>0</v>
      </c>
      <c r="J176" s="61" t="str">
        <f t="shared" si="2"/>
        <v/>
      </c>
      <c r="K176" s="60" t="str">
        <f t="shared" si="3"/>
        <v/>
      </c>
      <c r="L176" s="33"/>
      <c r="M176" s="56" t="str">
        <f t="array" ref="M176">IF($A176="","",IF(K176="Resolved",IF($H176&lt;&gt;"",IFERROR(INDEX('Bills &amp; Payments Due'!$M$7:$M$500,MATCH($H176,'Bills &amp; Payments Due'!$A$7:$A$500,0)),""),IFERROR(MAXIFS('Daily Transactions'!$A$6:$A$500,'Daily Transactions'!$K$6:$K$500,$O176,'Daily Transactions'!$C$6:$C$500,"Expense"),"")),""))</f>
        <v/>
      </c>
      <c r="N176" s="33"/>
      <c r="O176" s="26" t="str">
        <f t="shared" si="4"/>
        <v/>
      </c>
    </row>
    <row r="177" ht="15.0" customHeight="1">
      <c r="A177" s="29" t="str">
        <f t="shared" si="1"/>
        <v/>
      </c>
      <c r="B177" s="40"/>
      <c r="C177" s="16"/>
      <c r="D177" s="16"/>
      <c r="E177" s="16"/>
      <c r="F177" s="16"/>
      <c r="G177" s="41"/>
      <c r="H177" s="16"/>
      <c r="I177" s="17">
        <f t="array" ref="I177">IF($A177="",0,IF($H177&lt;&gt;"",IFERROR(INDEX('Bills &amp; Payments Due'!$I$7:$I$500,MATCH($H177,'Bills &amp; Payments Due'!$A$7:$A$500,0)),0),SUMIFS('Daily Transactions'!$F$6:$F$500,'Daily Transactions'!$K$6:$K$500,$O177,'Daily Transactions'!$C$6:$C$500,"Expense")))</f>
        <v>0</v>
      </c>
      <c r="J177" s="17" t="str">
        <f t="shared" si="2"/>
        <v/>
      </c>
      <c r="K177" s="29" t="str">
        <f t="shared" si="3"/>
        <v/>
      </c>
      <c r="L177" s="16"/>
      <c r="M177" s="49" t="str">
        <f t="array" ref="M177">IF($A177="","",IF(K177="Resolved",IF($H177&lt;&gt;"",IFERROR(INDEX('Bills &amp; Payments Due'!$M$7:$M$500,MATCH($H177,'Bills &amp; Payments Due'!$A$7:$A$500,0)),""),IFERROR(MAXIFS('Daily Transactions'!$A$6:$A$500,'Daily Transactions'!$K$6:$K$500,$O177,'Daily Transactions'!$C$6:$C$500,"Expense"),"")),""))</f>
        <v/>
      </c>
      <c r="N177" s="16"/>
      <c r="O177" s="26" t="str">
        <f t="shared" si="4"/>
        <v/>
      </c>
    </row>
    <row r="178" ht="15.0" customHeight="1">
      <c r="A178" s="60" t="str">
        <f t="shared" si="1"/>
        <v/>
      </c>
      <c r="B178" s="32"/>
      <c r="C178" s="33"/>
      <c r="D178" s="33"/>
      <c r="E178" s="33"/>
      <c r="F178" s="33"/>
      <c r="G178" s="34"/>
      <c r="H178" s="33"/>
      <c r="I178" s="61">
        <f t="array" ref="I178">IF($A178="",0,IF($H178&lt;&gt;"",IFERROR(INDEX('Bills &amp; Payments Due'!$I$7:$I$500,MATCH($H178,'Bills &amp; Payments Due'!$A$7:$A$500,0)),0),SUMIFS('Daily Transactions'!$F$6:$F$500,'Daily Transactions'!$K$6:$K$500,$O178,'Daily Transactions'!$C$6:$C$500,"Expense")))</f>
        <v>0</v>
      </c>
      <c r="J178" s="61" t="str">
        <f t="shared" si="2"/>
        <v/>
      </c>
      <c r="K178" s="60" t="str">
        <f t="shared" si="3"/>
        <v/>
      </c>
      <c r="L178" s="33"/>
      <c r="M178" s="56" t="str">
        <f t="array" ref="M178">IF($A178="","",IF(K178="Resolved",IF($H178&lt;&gt;"",IFERROR(INDEX('Bills &amp; Payments Due'!$M$7:$M$500,MATCH($H178,'Bills &amp; Payments Due'!$A$7:$A$500,0)),""),IFERROR(MAXIFS('Daily Transactions'!$A$6:$A$500,'Daily Transactions'!$K$6:$K$500,$O178,'Daily Transactions'!$C$6:$C$500,"Expense"),"")),""))</f>
        <v/>
      </c>
      <c r="N178" s="33"/>
      <c r="O178" s="26" t="str">
        <f t="shared" si="4"/>
        <v/>
      </c>
    </row>
    <row r="179" ht="15.0" customHeight="1">
      <c r="A179" s="29" t="str">
        <f t="shared" si="1"/>
        <v/>
      </c>
      <c r="B179" s="40"/>
      <c r="C179" s="16"/>
      <c r="D179" s="16"/>
      <c r="E179" s="16"/>
      <c r="F179" s="16"/>
      <c r="G179" s="41"/>
      <c r="H179" s="16"/>
      <c r="I179" s="17">
        <f t="array" ref="I179">IF($A179="",0,IF($H179&lt;&gt;"",IFERROR(INDEX('Bills &amp; Payments Due'!$I$7:$I$500,MATCH($H179,'Bills &amp; Payments Due'!$A$7:$A$500,0)),0),SUMIFS('Daily Transactions'!$F$6:$F$500,'Daily Transactions'!$K$6:$K$500,$O179,'Daily Transactions'!$C$6:$C$500,"Expense")))</f>
        <v>0</v>
      </c>
      <c r="J179" s="17" t="str">
        <f t="shared" si="2"/>
        <v/>
      </c>
      <c r="K179" s="29" t="str">
        <f t="shared" si="3"/>
        <v/>
      </c>
      <c r="L179" s="16"/>
      <c r="M179" s="49" t="str">
        <f t="array" ref="M179">IF($A179="","",IF(K179="Resolved",IF($H179&lt;&gt;"",IFERROR(INDEX('Bills &amp; Payments Due'!$M$7:$M$500,MATCH($H179,'Bills &amp; Payments Due'!$A$7:$A$500,0)),""),IFERROR(MAXIFS('Daily Transactions'!$A$6:$A$500,'Daily Transactions'!$K$6:$K$500,$O179,'Daily Transactions'!$C$6:$C$500,"Expense"),"")),""))</f>
        <v/>
      </c>
      <c r="N179" s="16"/>
      <c r="O179" s="26" t="str">
        <f t="shared" si="4"/>
        <v/>
      </c>
    </row>
    <row r="180" ht="15.0" customHeight="1">
      <c r="A180" s="60" t="str">
        <f t="shared" si="1"/>
        <v/>
      </c>
      <c r="B180" s="32"/>
      <c r="C180" s="33"/>
      <c r="D180" s="33"/>
      <c r="E180" s="33"/>
      <c r="F180" s="33"/>
      <c r="G180" s="34"/>
      <c r="H180" s="33"/>
      <c r="I180" s="61">
        <f t="array" ref="I180">IF($A180="",0,IF($H180&lt;&gt;"",IFERROR(INDEX('Bills &amp; Payments Due'!$I$7:$I$500,MATCH($H180,'Bills &amp; Payments Due'!$A$7:$A$500,0)),0),SUMIFS('Daily Transactions'!$F$6:$F$500,'Daily Transactions'!$K$6:$K$500,$O180,'Daily Transactions'!$C$6:$C$500,"Expense")))</f>
        <v>0</v>
      </c>
      <c r="J180" s="61" t="str">
        <f t="shared" si="2"/>
        <v/>
      </c>
      <c r="K180" s="60" t="str">
        <f t="shared" si="3"/>
        <v/>
      </c>
      <c r="L180" s="33"/>
      <c r="M180" s="56" t="str">
        <f t="array" ref="M180">IF($A180="","",IF(K180="Resolved",IF($H180&lt;&gt;"",IFERROR(INDEX('Bills &amp; Payments Due'!$M$7:$M$500,MATCH($H180,'Bills &amp; Payments Due'!$A$7:$A$500,0)),""),IFERROR(MAXIFS('Daily Transactions'!$A$6:$A$500,'Daily Transactions'!$K$6:$K$500,$O180,'Daily Transactions'!$C$6:$C$500,"Expense"),"")),""))</f>
        <v/>
      </c>
      <c r="N180" s="33"/>
      <c r="O180" s="26" t="str">
        <f t="shared" si="4"/>
        <v/>
      </c>
    </row>
    <row r="181" ht="15.0" customHeight="1">
      <c r="A181" s="29" t="str">
        <f t="shared" si="1"/>
        <v/>
      </c>
      <c r="B181" s="40"/>
      <c r="C181" s="16"/>
      <c r="D181" s="16"/>
      <c r="E181" s="16"/>
      <c r="F181" s="16"/>
      <c r="G181" s="41"/>
      <c r="H181" s="16"/>
      <c r="I181" s="17">
        <f t="array" ref="I181">IF($A181="",0,IF($H181&lt;&gt;"",IFERROR(INDEX('Bills &amp; Payments Due'!$I$7:$I$500,MATCH($H181,'Bills &amp; Payments Due'!$A$7:$A$500,0)),0),SUMIFS('Daily Transactions'!$F$6:$F$500,'Daily Transactions'!$K$6:$K$500,$O181,'Daily Transactions'!$C$6:$C$500,"Expense")))</f>
        <v>0</v>
      </c>
      <c r="J181" s="17" t="str">
        <f t="shared" si="2"/>
        <v/>
      </c>
      <c r="K181" s="29" t="str">
        <f t="shared" si="3"/>
        <v/>
      </c>
      <c r="L181" s="16"/>
      <c r="M181" s="49" t="str">
        <f t="array" ref="M181">IF($A181="","",IF(K181="Resolved",IF($H181&lt;&gt;"",IFERROR(INDEX('Bills &amp; Payments Due'!$M$7:$M$500,MATCH($H181,'Bills &amp; Payments Due'!$A$7:$A$500,0)),""),IFERROR(MAXIFS('Daily Transactions'!$A$6:$A$500,'Daily Transactions'!$K$6:$K$500,$O181,'Daily Transactions'!$C$6:$C$500,"Expense"),"")),""))</f>
        <v/>
      </c>
      <c r="N181" s="16"/>
      <c r="O181" s="26" t="str">
        <f t="shared" si="4"/>
        <v/>
      </c>
    </row>
    <row r="182" ht="15.0" customHeight="1">
      <c r="A182" s="60" t="str">
        <f t="shared" si="1"/>
        <v/>
      </c>
      <c r="B182" s="32"/>
      <c r="C182" s="33"/>
      <c r="D182" s="33"/>
      <c r="E182" s="33"/>
      <c r="F182" s="33"/>
      <c r="G182" s="34"/>
      <c r="H182" s="33"/>
      <c r="I182" s="61">
        <f t="array" ref="I182">IF($A182="",0,IF($H182&lt;&gt;"",IFERROR(INDEX('Bills &amp; Payments Due'!$I$7:$I$500,MATCH($H182,'Bills &amp; Payments Due'!$A$7:$A$500,0)),0),SUMIFS('Daily Transactions'!$F$6:$F$500,'Daily Transactions'!$K$6:$K$500,$O182,'Daily Transactions'!$C$6:$C$500,"Expense")))</f>
        <v>0</v>
      </c>
      <c r="J182" s="61" t="str">
        <f t="shared" si="2"/>
        <v/>
      </c>
      <c r="K182" s="60" t="str">
        <f t="shared" si="3"/>
        <v/>
      </c>
      <c r="L182" s="33"/>
      <c r="M182" s="56" t="str">
        <f t="array" ref="M182">IF($A182="","",IF(K182="Resolved",IF($H182&lt;&gt;"",IFERROR(INDEX('Bills &amp; Payments Due'!$M$7:$M$500,MATCH($H182,'Bills &amp; Payments Due'!$A$7:$A$500,0)),""),IFERROR(MAXIFS('Daily Transactions'!$A$6:$A$500,'Daily Transactions'!$K$6:$K$500,$O182,'Daily Transactions'!$C$6:$C$500,"Expense"),"")),""))</f>
        <v/>
      </c>
      <c r="N182" s="33"/>
      <c r="O182" s="26" t="str">
        <f t="shared" si="4"/>
        <v/>
      </c>
    </row>
    <row r="183" ht="15.0" customHeight="1">
      <c r="A183" s="29" t="str">
        <f t="shared" si="1"/>
        <v/>
      </c>
      <c r="B183" s="40"/>
      <c r="C183" s="16"/>
      <c r="D183" s="16"/>
      <c r="E183" s="16"/>
      <c r="F183" s="16"/>
      <c r="G183" s="41"/>
      <c r="H183" s="16"/>
      <c r="I183" s="17">
        <f t="array" ref="I183">IF($A183="",0,IF($H183&lt;&gt;"",IFERROR(INDEX('Bills &amp; Payments Due'!$I$7:$I$500,MATCH($H183,'Bills &amp; Payments Due'!$A$7:$A$500,0)),0),SUMIFS('Daily Transactions'!$F$6:$F$500,'Daily Transactions'!$K$6:$K$500,$O183,'Daily Transactions'!$C$6:$C$500,"Expense")))</f>
        <v>0</v>
      </c>
      <c r="J183" s="17" t="str">
        <f t="shared" si="2"/>
        <v/>
      </c>
      <c r="K183" s="29" t="str">
        <f t="shared" si="3"/>
        <v/>
      </c>
      <c r="L183" s="16"/>
      <c r="M183" s="49" t="str">
        <f t="array" ref="M183">IF($A183="","",IF(K183="Resolved",IF($H183&lt;&gt;"",IFERROR(INDEX('Bills &amp; Payments Due'!$M$7:$M$500,MATCH($H183,'Bills &amp; Payments Due'!$A$7:$A$500,0)),""),IFERROR(MAXIFS('Daily Transactions'!$A$6:$A$500,'Daily Transactions'!$K$6:$K$500,$O183,'Daily Transactions'!$C$6:$C$500,"Expense"),"")),""))</f>
        <v/>
      </c>
      <c r="N183" s="16"/>
      <c r="O183" s="26" t="str">
        <f t="shared" si="4"/>
        <v/>
      </c>
    </row>
    <row r="184" ht="15.0" customHeight="1">
      <c r="A184" s="60" t="str">
        <f t="shared" si="1"/>
        <v/>
      </c>
      <c r="B184" s="32"/>
      <c r="C184" s="33"/>
      <c r="D184" s="33"/>
      <c r="E184" s="33"/>
      <c r="F184" s="33"/>
      <c r="G184" s="34"/>
      <c r="H184" s="33"/>
      <c r="I184" s="61">
        <f t="array" ref="I184">IF($A184="",0,IF($H184&lt;&gt;"",IFERROR(INDEX('Bills &amp; Payments Due'!$I$7:$I$500,MATCH($H184,'Bills &amp; Payments Due'!$A$7:$A$500,0)),0),SUMIFS('Daily Transactions'!$F$6:$F$500,'Daily Transactions'!$K$6:$K$500,$O184,'Daily Transactions'!$C$6:$C$500,"Expense")))</f>
        <v>0</v>
      </c>
      <c r="J184" s="61" t="str">
        <f t="shared" si="2"/>
        <v/>
      </c>
      <c r="K184" s="60" t="str">
        <f t="shared" si="3"/>
        <v/>
      </c>
      <c r="L184" s="33"/>
      <c r="M184" s="56" t="str">
        <f t="array" ref="M184">IF($A184="","",IF(K184="Resolved",IF($H184&lt;&gt;"",IFERROR(INDEX('Bills &amp; Payments Due'!$M$7:$M$500,MATCH($H184,'Bills &amp; Payments Due'!$A$7:$A$500,0)),""),IFERROR(MAXIFS('Daily Transactions'!$A$6:$A$500,'Daily Transactions'!$K$6:$K$500,$O184,'Daily Transactions'!$C$6:$C$500,"Expense"),"")),""))</f>
        <v/>
      </c>
      <c r="N184" s="33"/>
      <c r="O184" s="26" t="str">
        <f t="shared" si="4"/>
        <v/>
      </c>
    </row>
    <row r="185" ht="15.0" customHeight="1">
      <c r="A185" s="29" t="str">
        <f t="shared" si="1"/>
        <v/>
      </c>
      <c r="B185" s="40"/>
      <c r="C185" s="16"/>
      <c r="D185" s="16"/>
      <c r="E185" s="16"/>
      <c r="F185" s="16"/>
      <c r="G185" s="41"/>
      <c r="H185" s="16"/>
      <c r="I185" s="17">
        <f t="array" ref="I185">IF($A185="",0,IF($H185&lt;&gt;"",IFERROR(INDEX('Bills &amp; Payments Due'!$I$7:$I$500,MATCH($H185,'Bills &amp; Payments Due'!$A$7:$A$500,0)),0),SUMIFS('Daily Transactions'!$F$6:$F$500,'Daily Transactions'!$K$6:$K$500,$O185,'Daily Transactions'!$C$6:$C$500,"Expense")))</f>
        <v>0</v>
      </c>
      <c r="J185" s="17" t="str">
        <f t="shared" si="2"/>
        <v/>
      </c>
      <c r="K185" s="29" t="str">
        <f t="shared" si="3"/>
        <v/>
      </c>
      <c r="L185" s="16"/>
      <c r="M185" s="49" t="str">
        <f t="array" ref="M185">IF($A185="","",IF(K185="Resolved",IF($H185&lt;&gt;"",IFERROR(INDEX('Bills &amp; Payments Due'!$M$7:$M$500,MATCH($H185,'Bills &amp; Payments Due'!$A$7:$A$500,0)),""),IFERROR(MAXIFS('Daily Transactions'!$A$6:$A$500,'Daily Transactions'!$K$6:$K$500,$O185,'Daily Transactions'!$C$6:$C$500,"Expense"),"")),""))</f>
        <v/>
      </c>
      <c r="N185" s="16"/>
      <c r="O185" s="26" t="str">
        <f t="shared" si="4"/>
        <v/>
      </c>
    </row>
    <row r="186" ht="15.0" customHeight="1">
      <c r="A186" s="60" t="str">
        <f t="shared" si="1"/>
        <v/>
      </c>
      <c r="B186" s="32"/>
      <c r="C186" s="33"/>
      <c r="D186" s="33"/>
      <c r="E186" s="33"/>
      <c r="F186" s="33"/>
      <c r="G186" s="34"/>
      <c r="H186" s="33"/>
      <c r="I186" s="61">
        <f t="array" ref="I186">IF($A186="",0,IF($H186&lt;&gt;"",IFERROR(INDEX('Bills &amp; Payments Due'!$I$7:$I$500,MATCH($H186,'Bills &amp; Payments Due'!$A$7:$A$500,0)),0),SUMIFS('Daily Transactions'!$F$6:$F$500,'Daily Transactions'!$K$6:$K$500,$O186,'Daily Transactions'!$C$6:$C$500,"Expense")))</f>
        <v>0</v>
      </c>
      <c r="J186" s="61" t="str">
        <f t="shared" si="2"/>
        <v/>
      </c>
      <c r="K186" s="60" t="str">
        <f t="shared" si="3"/>
        <v/>
      </c>
      <c r="L186" s="33"/>
      <c r="M186" s="56" t="str">
        <f t="array" ref="M186">IF($A186="","",IF(K186="Resolved",IF($H186&lt;&gt;"",IFERROR(INDEX('Bills &amp; Payments Due'!$M$7:$M$500,MATCH($H186,'Bills &amp; Payments Due'!$A$7:$A$500,0)),""),IFERROR(MAXIFS('Daily Transactions'!$A$6:$A$500,'Daily Transactions'!$K$6:$K$500,$O186,'Daily Transactions'!$C$6:$C$500,"Expense"),"")),""))</f>
        <v/>
      </c>
      <c r="N186" s="33"/>
      <c r="O186" s="26" t="str">
        <f t="shared" si="4"/>
        <v/>
      </c>
    </row>
    <row r="187" ht="15.0" customHeight="1">
      <c r="A187" s="29" t="str">
        <f t="shared" si="1"/>
        <v/>
      </c>
      <c r="B187" s="40"/>
      <c r="C187" s="16"/>
      <c r="D187" s="16"/>
      <c r="E187" s="16"/>
      <c r="F187" s="16"/>
      <c r="G187" s="41"/>
      <c r="H187" s="16"/>
      <c r="I187" s="17">
        <f t="array" ref="I187">IF($A187="",0,IF($H187&lt;&gt;"",IFERROR(INDEX('Bills &amp; Payments Due'!$I$7:$I$500,MATCH($H187,'Bills &amp; Payments Due'!$A$7:$A$500,0)),0),SUMIFS('Daily Transactions'!$F$6:$F$500,'Daily Transactions'!$K$6:$K$500,$O187,'Daily Transactions'!$C$6:$C$500,"Expense")))</f>
        <v>0</v>
      </c>
      <c r="J187" s="17" t="str">
        <f t="shared" si="2"/>
        <v/>
      </c>
      <c r="K187" s="29" t="str">
        <f t="shared" si="3"/>
        <v/>
      </c>
      <c r="L187" s="16"/>
      <c r="M187" s="49" t="str">
        <f t="array" ref="M187">IF($A187="","",IF(K187="Resolved",IF($H187&lt;&gt;"",IFERROR(INDEX('Bills &amp; Payments Due'!$M$7:$M$500,MATCH($H187,'Bills &amp; Payments Due'!$A$7:$A$500,0)),""),IFERROR(MAXIFS('Daily Transactions'!$A$6:$A$500,'Daily Transactions'!$K$6:$K$500,$O187,'Daily Transactions'!$C$6:$C$500,"Expense"),"")),""))</f>
        <v/>
      </c>
      <c r="N187" s="16"/>
      <c r="O187" s="26" t="str">
        <f t="shared" si="4"/>
        <v/>
      </c>
    </row>
    <row r="188" ht="15.0" customHeight="1">
      <c r="A188" s="60" t="str">
        <f t="shared" si="1"/>
        <v/>
      </c>
      <c r="B188" s="32"/>
      <c r="C188" s="33"/>
      <c r="D188" s="33"/>
      <c r="E188" s="33"/>
      <c r="F188" s="33"/>
      <c r="G188" s="34"/>
      <c r="H188" s="33"/>
      <c r="I188" s="61">
        <f t="array" ref="I188">IF($A188="",0,IF($H188&lt;&gt;"",IFERROR(INDEX('Bills &amp; Payments Due'!$I$7:$I$500,MATCH($H188,'Bills &amp; Payments Due'!$A$7:$A$500,0)),0),SUMIFS('Daily Transactions'!$F$6:$F$500,'Daily Transactions'!$K$6:$K$500,$O188,'Daily Transactions'!$C$6:$C$500,"Expense")))</f>
        <v>0</v>
      </c>
      <c r="J188" s="61" t="str">
        <f t="shared" si="2"/>
        <v/>
      </c>
      <c r="K188" s="60" t="str">
        <f t="shared" si="3"/>
        <v/>
      </c>
      <c r="L188" s="33"/>
      <c r="M188" s="56" t="str">
        <f t="array" ref="M188">IF($A188="","",IF(K188="Resolved",IF($H188&lt;&gt;"",IFERROR(INDEX('Bills &amp; Payments Due'!$M$7:$M$500,MATCH($H188,'Bills &amp; Payments Due'!$A$7:$A$500,0)),""),IFERROR(MAXIFS('Daily Transactions'!$A$6:$A$500,'Daily Transactions'!$K$6:$K$500,$O188,'Daily Transactions'!$C$6:$C$500,"Expense"),"")),""))</f>
        <v/>
      </c>
      <c r="N188" s="33"/>
      <c r="O188" s="26" t="str">
        <f t="shared" si="4"/>
        <v/>
      </c>
    </row>
    <row r="189" ht="15.0" customHeight="1">
      <c r="A189" s="29" t="str">
        <f t="shared" si="1"/>
        <v/>
      </c>
      <c r="B189" s="40"/>
      <c r="C189" s="16"/>
      <c r="D189" s="16"/>
      <c r="E189" s="16"/>
      <c r="F189" s="16"/>
      <c r="G189" s="41"/>
      <c r="H189" s="16"/>
      <c r="I189" s="17">
        <f t="array" ref="I189">IF($A189="",0,IF($H189&lt;&gt;"",IFERROR(INDEX('Bills &amp; Payments Due'!$I$7:$I$500,MATCH($H189,'Bills &amp; Payments Due'!$A$7:$A$500,0)),0),SUMIFS('Daily Transactions'!$F$6:$F$500,'Daily Transactions'!$K$6:$K$500,$O189,'Daily Transactions'!$C$6:$C$500,"Expense")))</f>
        <v>0</v>
      </c>
      <c r="J189" s="17" t="str">
        <f t="shared" si="2"/>
        <v/>
      </c>
      <c r="K189" s="29" t="str">
        <f t="shared" si="3"/>
        <v/>
      </c>
      <c r="L189" s="16"/>
      <c r="M189" s="49" t="str">
        <f t="array" ref="M189">IF($A189="","",IF(K189="Resolved",IF($H189&lt;&gt;"",IFERROR(INDEX('Bills &amp; Payments Due'!$M$7:$M$500,MATCH($H189,'Bills &amp; Payments Due'!$A$7:$A$500,0)),""),IFERROR(MAXIFS('Daily Transactions'!$A$6:$A$500,'Daily Transactions'!$K$6:$K$500,$O189,'Daily Transactions'!$C$6:$C$500,"Expense"),"")),""))</f>
        <v/>
      </c>
      <c r="N189" s="16"/>
      <c r="O189" s="26" t="str">
        <f t="shared" si="4"/>
        <v/>
      </c>
    </row>
    <row r="190" ht="15.0" customHeight="1">
      <c r="A190" s="60" t="str">
        <f t="shared" si="1"/>
        <v/>
      </c>
      <c r="B190" s="32"/>
      <c r="C190" s="33"/>
      <c r="D190" s="33"/>
      <c r="E190" s="33"/>
      <c r="F190" s="33"/>
      <c r="G190" s="34"/>
      <c r="H190" s="33"/>
      <c r="I190" s="61">
        <f t="array" ref="I190">IF($A190="",0,IF($H190&lt;&gt;"",IFERROR(INDEX('Bills &amp; Payments Due'!$I$7:$I$500,MATCH($H190,'Bills &amp; Payments Due'!$A$7:$A$500,0)),0),SUMIFS('Daily Transactions'!$F$6:$F$500,'Daily Transactions'!$K$6:$K$500,$O190,'Daily Transactions'!$C$6:$C$500,"Expense")))</f>
        <v>0</v>
      </c>
      <c r="J190" s="61" t="str">
        <f t="shared" si="2"/>
        <v/>
      </c>
      <c r="K190" s="60" t="str">
        <f t="shared" si="3"/>
        <v/>
      </c>
      <c r="L190" s="33"/>
      <c r="M190" s="56" t="str">
        <f t="array" ref="M190">IF($A190="","",IF(K190="Resolved",IF($H190&lt;&gt;"",IFERROR(INDEX('Bills &amp; Payments Due'!$M$7:$M$500,MATCH($H190,'Bills &amp; Payments Due'!$A$7:$A$500,0)),""),IFERROR(MAXIFS('Daily Transactions'!$A$6:$A$500,'Daily Transactions'!$K$6:$K$500,$O190,'Daily Transactions'!$C$6:$C$500,"Expense"),"")),""))</f>
        <v/>
      </c>
      <c r="N190" s="33"/>
      <c r="O190" s="26" t="str">
        <f t="shared" si="4"/>
        <v/>
      </c>
    </row>
    <row r="191" ht="15.0" customHeight="1">
      <c r="A191" s="29" t="str">
        <f t="shared" si="1"/>
        <v/>
      </c>
      <c r="B191" s="40"/>
      <c r="C191" s="16"/>
      <c r="D191" s="16"/>
      <c r="E191" s="16"/>
      <c r="F191" s="16"/>
      <c r="G191" s="41"/>
      <c r="H191" s="16"/>
      <c r="I191" s="17">
        <f t="array" ref="I191">IF($A191="",0,IF($H191&lt;&gt;"",IFERROR(INDEX('Bills &amp; Payments Due'!$I$7:$I$500,MATCH($H191,'Bills &amp; Payments Due'!$A$7:$A$500,0)),0),SUMIFS('Daily Transactions'!$F$6:$F$500,'Daily Transactions'!$K$6:$K$500,$O191,'Daily Transactions'!$C$6:$C$500,"Expense")))</f>
        <v>0</v>
      </c>
      <c r="J191" s="17" t="str">
        <f t="shared" si="2"/>
        <v/>
      </c>
      <c r="K191" s="29" t="str">
        <f t="shared" si="3"/>
        <v/>
      </c>
      <c r="L191" s="16"/>
      <c r="M191" s="49" t="str">
        <f t="array" ref="M191">IF($A191="","",IF(K191="Resolved",IF($H191&lt;&gt;"",IFERROR(INDEX('Bills &amp; Payments Due'!$M$7:$M$500,MATCH($H191,'Bills &amp; Payments Due'!$A$7:$A$500,0)),""),IFERROR(MAXIFS('Daily Transactions'!$A$6:$A$500,'Daily Transactions'!$K$6:$K$500,$O191,'Daily Transactions'!$C$6:$C$500,"Expense"),"")),""))</f>
        <v/>
      </c>
      <c r="N191" s="16"/>
      <c r="O191" s="26" t="str">
        <f t="shared" si="4"/>
        <v/>
      </c>
    </row>
    <row r="192" ht="15.0" customHeight="1">
      <c r="A192" s="60" t="str">
        <f t="shared" si="1"/>
        <v/>
      </c>
      <c r="B192" s="32"/>
      <c r="C192" s="33"/>
      <c r="D192" s="33"/>
      <c r="E192" s="33"/>
      <c r="F192" s="33"/>
      <c r="G192" s="34"/>
      <c r="H192" s="33"/>
      <c r="I192" s="61">
        <f t="array" ref="I192">IF($A192="",0,IF($H192&lt;&gt;"",IFERROR(INDEX('Bills &amp; Payments Due'!$I$7:$I$500,MATCH($H192,'Bills &amp; Payments Due'!$A$7:$A$500,0)),0),SUMIFS('Daily Transactions'!$F$6:$F$500,'Daily Transactions'!$K$6:$K$500,$O192,'Daily Transactions'!$C$6:$C$500,"Expense")))</f>
        <v>0</v>
      </c>
      <c r="J192" s="61" t="str">
        <f t="shared" si="2"/>
        <v/>
      </c>
      <c r="K192" s="60" t="str">
        <f t="shared" si="3"/>
        <v/>
      </c>
      <c r="L192" s="33"/>
      <c r="M192" s="56" t="str">
        <f t="array" ref="M192">IF($A192="","",IF(K192="Resolved",IF($H192&lt;&gt;"",IFERROR(INDEX('Bills &amp; Payments Due'!$M$7:$M$500,MATCH($H192,'Bills &amp; Payments Due'!$A$7:$A$500,0)),""),IFERROR(MAXIFS('Daily Transactions'!$A$6:$A$500,'Daily Transactions'!$K$6:$K$500,$O192,'Daily Transactions'!$C$6:$C$500,"Expense"),"")),""))</f>
        <v/>
      </c>
      <c r="N192" s="33"/>
      <c r="O192" s="26" t="str">
        <f t="shared" si="4"/>
        <v/>
      </c>
    </row>
    <row r="193" ht="15.0" customHeight="1">
      <c r="A193" s="29" t="str">
        <f t="shared" si="1"/>
        <v/>
      </c>
      <c r="B193" s="40"/>
      <c r="C193" s="16"/>
      <c r="D193" s="16"/>
      <c r="E193" s="16"/>
      <c r="F193" s="16"/>
      <c r="G193" s="41"/>
      <c r="H193" s="16"/>
      <c r="I193" s="17">
        <f t="array" ref="I193">IF($A193="",0,IF($H193&lt;&gt;"",IFERROR(INDEX('Bills &amp; Payments Due'!$I$7:$I$500,MATCH($H193,'Bills &amp; Payments Due'!$A$7:$A$500,0)),0),SUMIFS('Daily Transactions'!$F$6:$F$500,'Daily Transactions'!$K$6:$K$500,$O193,'Daily Transactions'!$C$6:$C$500,"Expense")))</f>
        <v>0</v>
      </c>
      <c r="J193" s="17" t="str">
        <f t="shared" si="2"/>
        <v/>
      </c>
      <c r="K193" s="29" t="str">
        <f t="shared" si="3"/>
        <v/>
      </c>
      <c r="L193" s="16"/>
      <c r="M193" s="49" t="str">
        <f t="array" ref="M193">IF($A193="","",IF(K193="Resolved",IF($H193&lt;&gt;"",IFERROR(INDEX('Bills &amp; Payments Due'!$M$7:$M$500,MATCH($H193,'Bills &amp; Payments Due'!$A$7:$A$500,0)),""),IFERROR(MAXIFS('Daily Transactions'!$A$6:$A$500,'Daily Transactions'!$K$6:$K$500,$O193,'Daily Transactions'!$C$6:$C$500,"Expense"),"")),""))</f>
        <v/>
      </c>
      <c r="N193" s="16"/>
      <c r="O193" s="26" t="str">
        <f t="shared" si="4"/>
        <v/>
      </c>
    </row>
    <row r="194" ht="15.0" customHeight="1">
      <c r="A194" s="60" t="str">
        <f t="shared" si="1"/>
        <v/>
      </c>
      <c r="B194" s="32"/>
      <c r="C194" s="33"/>
      <c r="D194" s="33"/>
      <c r="E194" s="33"/>
      <c r="F194" s="33"/>
      <c r="G194" s="34"/>
      <c r="H194" s="33"/>
      <c r="I194" s="61">
        <f t="array" ref="I194">IF($A194="",0,IF($H194&lt;&gt;"",IFERROR(INDEX('Bills &amp; Payments Due'!$I$7:$I$500,MATCH($H194,'Bills &amp; Payments Due'!$A$7:$A$500,0)),0),SUMIFS('Daily Transactions'!$F$6:$F$500,'Daily Transactions'!$K$6:$K$500,$O194,'Daily Transactions'!$C$6:$C$500,"Expense")))</f>
        <v>0</v>
      </c>
      <c r="J194" s="61" t="str">
        <f t="shared" si="2"/>
        <v/>
      </c>
      <c r="K194" s="60" t="str">
        <f t="shared" si="3"/>
        <v/>
      </c>
      <c r="L194" s="33"/>
      <c r="M194" s="56" t="str">
        <f t="array" ref="M194">IF($A194="","",IF(K194="Resolved",IF($H194&lt;&gt;"",IFERROR(INDEX('Bills &amp; Payments Due'!$M$7:$M$500,MATCH($H194,'Bills &amp; Payments Due'!$A$7:$A$500,0)),""),IFERROR(MAXIFS('Daily Transactions'!$A$6:$A$500,'Daily Transactions'!$K$6:$K$500,$O194,'Daily Transactions'!$C$6:$C$500,"Expense"),"")),""))</f>
        <v/>
      </c>
      <c r="N194" s="33"/>
      <c r="O194" s="26" t="str">
        <f t="shared" si="4"/>
        <v/>
      </c>
    </row>
    <row r="195" ht="15.0" customHeight="1">
      <c r="A195" s="29" t="str">
        <f t="shared" si="1"/>
        <v/>
      </c>
      <c r="B195" s="40"/>
      <c r="C195" s="16"/>
      <c r="D195" s="16"/>
      <c r="E195" s="16"/>
      <c r="F195" s="16"/>
      <c r="G195" s="41"/>
      <c r="H195" s="16"/>
      <c r="I195" s="17">
        <f t="array" ref="I195">IF($A195="",0,IF($H195&lt;&gt;"",IFERROR(INDEX('Bills &amp; Payments Due'!$I$7:$I$500,MATCH($H195,'Bills &amp; Payments Due'!$A$7:$A$500,0)),0),SUMIFS('Daily Transactions'!$F$6:$F$500,'Daily Transactions'!$K$6:$K$500,$O195,'Daily Transactions'!$C$6:$C$500,"Expense")))</f>
        <v>0</v>
      </c>
      <c r="J195" s="17" t="str">
        <f t="shared" si="2"/>
        <v/>
      </c>
      <c r="K195" s="29" t="str">
        <f t="shared" si="3"/>
        <v/>
      </c>
      <c r="L195" s="16"/>
      <c r="M195" s="49" t="str">
        <f t="array" ref="M195">IF($A195="","",IF(K195="Resolved",IF($H195&lt;&gt;"",IFERROR(INDEX('Bills &amp; Payments Due'!$M$7:$M$500,MATCH($H195,'Bills &amp; Payments Due'!$A$7:$A$500,0)),""),IFERROR(MAXIFS('Daily Transactions'!$A$6:$A$500,'Daily Transactions'!$K$6:$K$500,$O195,'Daily Transactions'!$C$6:$C$500,"Expense"),"")),""))</f>
        <v/>
      </c>
      <c r="N195" s="16"/>
      <c r="O195" s="26" t="str">
        <f t="shared" si="4"/>
        <v/>
      </c>
    </row>
    <row r="196" ht="15.0" customHeight="1">
      <c r="A196" s="60" t="str">
        <f t="shared" si="1"/>
        <v/>
      </c>
      <c r="B196" s="32"/>
      <c r="C196" s="33"/>
      <c r="D196" s="33"/>
      <c r="E196" s="33"/>
      <c r="F196" s="33"/>
      <c r="G196" s="34"/>
      <c r="H196" s="33"/>
      <c r="I196" s="61">
        <f t="array" ref="I196">IF($A196="",0,IF($H196&lt;&gt;"",IFERROR(INDEX('Bills &amp; Payments Due'!$I$7:$I$500,MATCH($H196,'Bills &amp; Payments Due'!$A$7:$A$500,0)),0),SUMIFS('Daily Transactions'!$F$6:$F$500,'Daily Transactions'!$K$6:$K$500,$O196,'Daily Transactions'!$C$6:$C$500,"Expense")))</f>
        <v>0</v>
      </c>
      <c r="J196" s="61" t="str">
        <f t="shared" si="2"/>
        <v/>
      </c>
      <c r="K196" s="60" t="str">
        <f t="shared" si="3"/>
        <v/>
      </c>
      <c r="L196" s="33"/>
      <c r="M196" s="56" t="str">
        <f t="array" ref="M196">IF($A196="","",IF(K196="Resolved",IF($H196&lt;&gt;"",IFERROR(INDEX('Bills &amp; Payments Due'!$M$7:$M$500,MATCH($H196,'Bills &amp; Payments Due'!$A$7:$A$500,0)),""),IFERROR(MAXIFS('Daily Transactions'!$A$6:$A$500,'Daily Transactions'!$K$6:$K$500,$O196,'Daily Transactions'!$C$6:$C$500,"Expense"),"")),""))</f>
        <v/>
      </c>
      <c r="N196" s="33"/>
      <c r="O196" s="26" t="str">
        <f t="shared" si="4"/>
        <v/>
      </c>
    </row>
    <row r="197" ht="15.0" customHeight="1">
      <c r="A197" s="29" t="str">
        <f t="shared" si="1"/>
        <v/>
      </c>
      <c r="B197" s="40"/>
      <c r="C197" s="16"/>
      <c r="D197" s="16"/>
      <c r="E197" s="16"/>
      <c r="F197" s="16"/>
      <c r="G197" s="41"/>
      <c r="H197" s="16"/>
      <c r="I197" s="17">
        <f t="array" ref="I197">IF($A197="",0,IF($H197&lt;&gt;"",IFERROR(INDEX('Bills &amp; Payments Due'!$I$7:$I$500,MATCH($H197,'Bills &amp; Payments Due'!$A$7:$A$500,0)),0),SUMIFS('Daily Transactions'!$F$6:$F$500,'Daily Transactions'!$K$6:$K$500,$O197,'Daily Transactions'!$C$6:$C$500,"Expense")))</f>
        <v>0</v>
      </c>
      <c r="J197" s="17" t="str">
        <f t="shared" si="2"/>
        <v/>
      </c>
      <c r="K197" s="29" t="str">
        <f t="shared" si="3"/>
        <v/>
      </c>
      <c r="L197" s="16"/>
      <c r="M197" s="49" t="str">
        <f t="array" ref="M197">IF($A197="","",IF(K197="Resolved",IF($H197&lt;&gt;"",IFERROR(INDEX('Bills &amp; Payments Due'!$M$7:$M$500,MATCH($H197,'Bills &amp; Payments Due'!$A$7:$A$500,0)),""),IFERROR(MAXIFS('Daily Transactions'!$A$6:$A$500,'Daily Transactions'!$K$6:$K$500,$O197,'Daily Transactions'!$C$6:$C$500,"Expense"),"")),""))</f>
        <v/>
      </c>
      <c r="N197" s="16"/>
      <c r="O197" s="26" t="str">
        <f t="shared" si="4"/>
        <v/>
      </c>
    </row>
    <row r="198" ht="15.0" customHeight="1">
      <c r="A198" s="60" t="str">
        <f t="shared" si="1"/>
        <v/>
      </c>
      <c r="B198" s="32"/>
      <c r="C198" s="33"/>
      <c r="D198" s="33"/>
      <c r="E198" s="33"/>
      <c r="F198" s="33"/>
      <c r="G198" s="34"/>
      <c r="H198" s="33"/>
      <c r="I198" s="61">
        <f t="array" ref="I198">IF($A198="",0,IF($H198&lt;&gt;"",IFERROR(INDEX('Bills &amp; Payments Due'!$I$7:$I$500,MATCH($H198,'Bills &amp; Payments Due'!$A$7:$A$500,0)),0),SUMIFS('Daily Transactions'!$F$6:$F$500,'Daily Transactions'!$K$6:$K$500,$O198,'Daily Transactions'!$C$6:$C$500,"Expense")))</f>
        <v>0</v>
      </c>
      <c r="J198" s="61" t="str">
        <f t="shared" si="2"/>
        <v/>
      </c>
      <c r="K198" s="60" t="str">
        <f t="shared" si="3"/>
        <v/>
      </c>
      <c r="L198" s="33"/>
      <c r="M198" s="56" t="str">
        <f t="array" ref="M198">IF($A198="","",IF(K198="Resolved",IF($H198&lt;&gt;"",IFERROR(INDEX('Bills &amp; Payments Due'!$M$7:$M$500,MATCH($H198,'Bills &amp; Payments Due'!$A$7:$A$500,0)),""),IFERROR(MAXIFS('Daily Transactions'!$A$6:$A$500,'Daily Transactions'!$K$6:$K$500,$O198,'Daily Transactions'!$C$6:$C$500,"Expense"),"")),""))</f>
        <v/>
      </c>
      <c r="N198" s="33"/>
      <c r="O198" s="26" t="str">
        <f t="shared" si="4"/>
        <v/>
      </c>
    </row>
    <row r="199" ht="15.0" customHeight="1">
      <c r="A199" s="29" t="str">
        <f t="shared" si="1"/>
        <v/>
      </c>
      <c r="B199" s="40"/>
      <c r="C199" s="16"/>
      <c r="D199" s="16"/>
      <c r="E199" s="16"/>
      <c r="F199" s="16"/>
      <c r="G199" s="41"/>
      <c r="H199" s="16"/>
      <c r="I199" s="17">
        <f t="array" ref="I199">IF($A199="",0,IF($H199&lt;&gt;"",IFERROR(INDEX('Bills &amp; Payments Due'!$I$7:$I$500,MATCH($H199,'Bills &amp; Payments Due'!$A$7:$A$500,0)),0),SUMIFS('Daily Transactions'!$F$6:$F$500,'Daily Transactions'!$K$6:$K$500,$O199,'Daily Transactions'!$C$6:$C$500,"Expense")))</f>
        <v>0</v>
      </c>
      <c r="J199" s="17" t="str">
        <f t="shared" si="2"/>
        <v/>
      </c>
      <c r="K199" s="29" t="str">
        <f t="shared" si="3"/>
        <v/>
      </c>
      <c r="L199" s="16"/>
      <c r="M199" s="49" t="str">
        <f t="array" ref="M199">IF($A199="","",IF(K199="Resolved",IF($H199&lt;&gt;"",IFERROR(INDEX('Bills &amp; Payments Due'!$M$7:$M$500,MATCH($H199,'Bills &amp; Payments Due'!$A$7:$A$500,0)),""),IFERROR(MAXIFS('Daily Transactions'!$A$6:$A$500,'Daily Transactions'!$K$6:$K$500,$O199,'Daily Transactions'!$C$6:$C$500,"Expense"),"")),""))</f>
        <v/>
      </c>
      <c r="N199" s="16"/>
      <c r="O199" s="26" t="str">
        <f t="shared" si="4"/>
        <v/>
      </c>
    </row>
    <row r="200" ht="15.0" customHeight="1">
      <c r="A200" s="60" t="str">
        <f t="shared" si="1"/>
        <v/>
      </c>
      <c r="B200" s="32"/>
      <c r="C200" s="33"/>
      <c r="D200" s="33"/>
      <c r="E200" s="33"/>
      <c r="F200" s="33"/>
      <c r="G200" s="34"/>
      <c r="H200" s="33"/>
      <c r="I200" s="61">
        <f t="array" ref="I200">IF($A200="",0,IF($H200&lt;&gt;"",IFERROR(INDEX('Bills &amp; Payments Due'!$I$7:$I$500,MATCH($H200,'Bills &amp; Payments Due'!$A$7:$A$500,0)),0),SUMIFS('Daily Transactions'!$F$6:$F$500,'Daily Transactions'!$K$6:$K$500,$O200,'Daily Transactions'!$C$6:$C$500,"Expense")))</f>
        <v>0</v>
      </c>
      <c r="J200" s="61" t="str">
        <f t="shared" si="2"/>
        <v/>
      </c>
      <c r="K200" s="60" t="str">
        <f t="shared" si="3"/>
        <v/>
      </c>
      <c r="L200" s="33"/>
      <c r="M200" s="56" t="str">
        <f t="array" ref="M200">IF($A200="","",IF(K200="Resolved",IF($H200&lt;&gt;"",IFERROR(INDEX('Bills &amp; Payments Due'!$M$7:$M$500,MATCH($H200,'Bills &amp; Payments Due'!$A$7:$A$500,0)),""),IFERROR(MAXIFS('Daily Transactions'!$A$6:$A$500,'Daily Transactions'!$K$6:$K$500,$O200,'Daily Transactions'!$C$6:$C$500,"Expense"),"")),""))</f>
        <v/>
      </c>
      <c r="N200" s="33"/>
      <c r="O200" s="26" t="str">
        <f t="shared" si="4"/>
        <v/>
      </c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</row>
  </sheetData>
  <mergeCells count="2">
    <mergeCell ref="A1:O1"/>
    <mergeCell ref="A2:O2"/>
  </mergeCells>
  <conditionalFormatting sqref="A7:N200">
    <cfRule type="expression" dxfId="2" priority="1">
      <formula>$K7="Pending"</formula>
    </cfRule>
  </conditionalFormatting>
  <conditionalFormatting sqref="A7:N200">
    <cfRule type="expression" dxfId="5" priority="2">
      <formula>$K7="Partially Paid"</formula>
    </cfRule>
  </conditionalFormatting>
  <conditionalFormatting sqref="A7:N200">
    <cfRule type="expression" dxfId="6" priority="3">
      <formula>$K7="Resolved"</formula>
    </cfRule>
  </conditionalFormatting>
  <conditionalFormatting sqref="A7:N200">
    <cfRule type="expression" dxfId="7" priority="4">
      <formula>$L7="Yes"</formula>
    </cfRule>
  </conditionalFormatting>
  <dataValidations>
    <dataValidation type="list" allowBlank="1" sqref="H7:H200">
      <formula1>'Bills &amp; Payments Due'!$A$7:$A$500</formula1>
    </dataValidation>
    <dataValidation type="list" allowBlank="1" sqref="C7:C200">
      <formula1>Setup!$B$6:$B$13</formula1>
    </dataValidation>
    <dataValidation type="list" allowBlank="1" sqref="L7:L200">
      <formula1>"Yes,No"</formula1>
    </dataValidation>
  </dataValidations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2026-07-14T12:57:19Z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